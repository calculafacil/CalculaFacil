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STRUCCIONES" sheetId="2" state="visible" r:id="rId2"/>
    <sheet name="ASISTENCIA" sheetId="3" state="visible" r:id="rId3"/>
    <sheet name="NOTAS" sheetId="4" state="visible" r:id="rId4"/>
    <sheet name="MI CURSO" sheetId="5" state="visible" r:id="rId5"/>
  </sheets>
  <definedNames>
    <definedName name="_xlnm.Print_Titles" localSheetId="1">'INSTRUCCIONES'!$1:$2</definedName>
    <definedName name="_xlnm._FilterDatabase" localSheetId="2" hidden="1">'ASISTENCIA'!$B$4:$G$54</definedName>
    <definedName name="_xlnm.Print_Titles" localSheetId="2">'ASISTENCIA'!$4:$4</definedName>
    <definedName name="_xlnm.Print_Titles" localSheetId="3">'NOTAS'!$4:$4</definedName>
    <definedName name="_xlnm.Print_Titles" localSheetId="4">'MI CURSO'!$1:$2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&quot;%&quot;"/>
    <numFmt numFmtId="166" formatCode="0&quot;%&quot;"/>
    <numFmt numFmtId="167" formatCode="0.##"/>
  </numFmts>
  <fonts count="2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  <sz val="11"/>
    </font>
    <font>
      <b val="1"/>
      <color rgb="00FFFFFF"/>
      <sz val="11"/>
    </font>
    <font>
      <color rgb="00000000"/>
      <sz val="11"/>
    </font>
    <font>
      <b val="1"/>
      <color rgb="00FFFFFF"/>
      <sz val="17"/>
    </font>
    <font>
      <b val="1"/>
      <color rgb="00FFFFFF"/>
      <sz val="13"/>
    </font>
    <font>
      <b val="1"/>
      <color rgb="00FFFFFF"/>
      <sz val="10"/>
    </font>
    <font>
      <b val="1"/>
      <color rgb="00FFFFFF"/>
    </font>
    <font>
      <b val="1"/>
    </font>
    <font>
      <i val="1"/>
      <color rgb="00595959"/>
      <sz val="9"/>
    </font>
    <font>
      <i val="1"/>
      <color rgb="00A6A6A6"/>
      <sz val="9"/>
    </font>
    <font>
      <b val="1"/>
      <color rgb="00FFFFFF"/>
      <sz val="12"/>
    </font>
    <font>
      <b val="1"/>
      <sz val="14"/>
    </font>
    <font>
      <b val="1"/>
      <sz val="16"/>
    </font>
    <font>
      <b val="1"/>
      <sz val="12"/>
    </font>
    <font>
      <b val="1"/>
      <color rgb="00FFFFFF"/>
      <sz val="22"/>
    </font>
    <font>
      <i val="1"/>
      <color rgb="00595959"/>
      <sz val="10"/>
    </font>
    <font>
      <b val="1"/>
      <sz val="13"/>
    </font>
    <font>
      <b val="1"/>
      <color rgb="00FFFFFF"/>
      <sz val="28"/>
    </font>
    <font>
      <b val="1"/>
      <color rgb="00FFFFFF"/>
      <sz val="24"/>
    </font>
    <font>
      <b val="1"/>
      <color rgb="00FFFFFF"/>
      <sz val="14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9C0006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9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 wrapText="1" indent="1"/>
    </xf>
    <xf numFmtId="0" fontId="12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pivotButton="0" quotePrefix="0" xfId="0">
      <alignment horizontal="center" vertical="center"/>
    </xf>
    <xf numFmtId="1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166" fontId="0" fillId="5" borderId="1" applyAlignment="1" applyProtection="1" pivotButton="0" quotePrefix="0" xfId="0">
      <alignment horizontal="center" vertical="center"/>
      <protection locked="0" hidden="0"/>
    </xf>
    <xf numFmtId="167" fontId="0" fillId="5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/>
    </xf>
    <xf numFmtId="0" fontId="0" fillId="0" borderId="1" applyAlignment="1" applyProtection="1" pivotButton="0" quotePrefix="0" xfId="0">
      <alignment horizontal="left" vertical="center"/>
      <protection locked="0" hidden="0"/>
    </xf>
    <xf numFmtId="2" fontId="0" fillId="0" borderId="1" applyAlignment="1" pivotButton="0" quotePrefix="0" xfId="0">
      <alignment horizontal="center"/>
    </xf>
    <xf numFmtId="1" fontId="0" fillId="0" borderId="1" applyAlignment="1" applyProtection="1" pivotButton="0" quotePrefix="0" xfId="0">
      <alignment horizontal="center"/>
      <protection locked="0" hidden="0"/>
    </xf>
    <xf numFmtId="0" fontId="12" fillId="2" borderId="0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2" fontId="0" fillId="0" borderId="1" applyAlignment="1" applyProtection="1" pivotButton="0" quotePrefix="0" xfId="0">
      <alignment horizontal="center" vertical="center"/>
      <protection locked="0" hidden="0"/>
    </xf>
    <xf numFmtId="2" fontId="15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2" fontId="16" fillId="2" borderId="0" applyAlignment="1" pivotButton="0" quotePrefix="0" xfId="0">
      <alignment horizontal="center" vertical="center"/>
    </xf>
    <xf numFmtId="165" fontId="16" fillId="6" borderId="0" applyAlignment="1" pivotButton="0" quotePrefix="0" xfId="0">
      <alignment horizontal="center" vertical="center"/>
    </xf>
    <xf numFmtId="1" fontId="16" fillId="7" borderId="0" applyAlignment="1" pivotButton="0" quotePrefix="0" xfId="0">
      <alignment horizontal="center" vertical="center"/>
    </xf>
    <xf numFmtId="166" fontId="16" fillId="8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2" fontId="13" fillId="5" borderId="1" applyAlignment="1" applyProtection="1" pivotButton="0" quotePrefix="0" xfId="0">
      <alignment horizontal="center" vertical="center"/>
      <protection locked="0" hidden="0"/>
    </xf>
    <xf numFmtId="0" fontId="17" fillId="0" borderId="0" applyAlignment="1" pivotButton="0" quotePrefix="0" xfId="0">
      <alignment horizontal="left" vertical="center" wrapText="1" indent="1"/>
    </xf>
    <xf numFmtId="0" fontId="15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65" fontId="13" fillId="4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</dxf>
    <dxf>
      <font>
        <b val="1"/>
        <color rgb="009C0006"/>
      </font>
    </dxf>
    <dxf>
      <font>
        <color rgb="00006100"/>
      </font>
    </dxf>
    <dxf>
      <font>
        <b val="1"/>
        <color rgb="00006100"/>
        <sz val="22"/>
      </font>
      <fill>
        <patternFill patternType="solid">
          <fgColor rgb="00C6EFCE"/>
        </patternFill>
      </fill>
    </dxf>
    <dxf>
      <font>
        <b val="1"/>
        <color rgb="009C0006"/>
        <sz val="22"/>
      </font>
      <fill>
        <patternFill patternType="solid">
          <fgColor rgb="00FFC7CE"/>
        </patternFill>
      </fill>
    </dxf>
    <dxf>
      <font>
        <b val="1"/>
        <color rgb="009C6500"/>
        <sz val="22"/>
      </font>
      <fill>
        <patternFill patternType="solid">
          <fgColor rgb="00FFF2CC"/>
        </patternFill>
      </fill>
    </dxf>
    <dxf>
      <font>
        <b val="1"/>
        <color rgb="00006100"/>
        <sz val="13"/>
      </font>
      <fill>
        <patternFill patternType="solid">
          <fgColor rgb="00C6EFCE"/>
        </patternFill>
      </fill>
    </dxf>
    <dxf>
      <font>
        <b val="1"/>
        <color rgb="009C6500"/>
        <sz val="13"/>
      </font>
      <fill>
        <patternFill patternType="solid">
          <fgColor rgb="00FFF2CC"/>
        </patternFill>
      </fill>
    </dxf>
    <dxf>
      <font>
        <b val="1"/>
        <color rgb="009C0006"/>
        <sz val="13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ntrolAsistencia" displayName="ControlAsistencia" ref="B4:G54" headerRowCount="1">
  <autoFilter ref="B4:G54"/>
  <tableColumns count="6">
    <tableColumn id="2" name="Fecha"/>
    <tableColumn id="3" name="Asignatura"/>
    <tableColumn id="4" name="Falta injustificada"/>
    <tableColumn id="5" name="Falta justificada"/>
    <tableColumn id="6" name="Retraso"/>
    <tableColumn id="7" name="Observacion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trolNotas" displayName="ControlNotas" ref="B4:I24" headerRowCount="1">
  <autoFilter ref="B4:I24"/>
  <tableColumns count="8">
    <tableColumn id="2" name="ASIGNATURA (elige)"/>
    <tableColumn id="3" name="NOTA 1"/>
    <tableColumn id="4" name="NOTA 2"/>
    <tableColumn id="5" name="NOTA 3"/>
    <tableColumn id="6" name="NOTA 4"/>
    <tableColumn id="7" name="NOTA 5"/>
    <tableColumn id="8" name="MEDIA"/>
    <tableColumn id="9" name="PESO (%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shboardTabla" displayName="DashboardTabla" ref="B14:G34" headerRowCount="1">
  <autoFilter ref="B14:G34"/>
  <tableColumns count="6">
    <tableColumn id="2" name="ASIGNATURA"/>
    <tableColumn id="3" name="CLASES (TOTAL)"/>
    <tableColumn id="4" name="FALTAS"/>
    <tableColumn id="5" name="MEDIA"/>
    <tableColumn id="6" name="% ASIST."/>
    <tableColumn id="7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2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</cols>
  <sheetData>
    <row r="2" ht="60" customHeight="1">
      <c r="A2" s="1" t="inlineStr">
        <is>
          <t>CALCULAFÁCIL</t>
        </is>
      </c>
    </row>
    <row r="3" ht="40" customHeight="1">
      <c r="A3" s="2" t="inlineStr">
        <is>
          <t>Control de tu curso</t>
        </is>
      </c>
    </row>
    <row r="4" ht="48" customHeight="1">
      <c r="A4" s="3" t="inlineStr">
        <is>
          <t>2026 / 2027</t>
        </is>
      </c>
    </row>
    <row r="5" ht="28" customHeight="1">
      <c r="A5" s="4" t="inlineStr">
        <is>
          <t>NOTAS · ASISTENCIA · RESUMEN DE TU CURSO</t>
        </is>
      </c>
    </row>
    <row r="6" ht="16" customHeight="1"/>
    <row r="7" ht="30" customHeight="1">
      <c r="A7" s="5" t="inlineStr">
        <is>
          <t>EMPIEZA AQUÍ EN 4 PASOS</t>
        </is>
      </c>
    </row>
    <row r="8" ht="44" customHeight="1">
      <c r="A8" s="6" t="inlineStr">
        <is>
          <t>PASO 1</t>
        </is>
      </c>
      <c r="D8" s="7" t="inlineStr">
        <is>
          <t>Escribe tus asignaturas en ASISTENCIA y las clases previstas de cada una.</t>
        </is>
      </c>
    </row>
    <row r="9" ht="44" customHeight="1">
      <c r="A9" s="6" t="inlineStr">
        <is>
          <t>PASO 2</t>
        </is>
      </c>
      <c r="D9" s="7" t="inlineStr">
        <is>
          <t>Registra cada día falta injustificada, justificada o retraso con una X.</t>
        </is>
      </c>
    </row>
    <row r="10" ht="44" customHeight="1">
      <c r="A10" s="6" t="inlineStr">
        <is>
          <t>PASO 3</t>
        </is>
      </c>
      <c r="D10" s="7" t="inlineStr">
        <is>
          <t>Añade notas y pesos en NOTAS (elige tus asignaturas del desplegable).</t>
        </is>
      </c>
    </row>
    <row r="11" ht="44" customHeight="1">
      <c r="A11" s="6" t="inlineStr">
        <is>
          <t>PASO 4</t>
        </is>
      </c>
      <c r="D11" s="7" t="inlineStr">
        <is>
          <t>Mira tu resumen, objetivo y evolución en MI CURSO (todo se rellena solo).</t>
        </is>
      </c>
    </row>
    <row r="12" ht="14" customHeight="1"/>
    <row r="13" ht="40" customHeight="1">
      <c r="A13" s="8" t="inlineStr">
        <is>
          <t>Todo se calcula solo · Sin fórmulas · Listo para el curso 2026/2027</t>
        </is>
      </c>
    </row>
    <row r="15">
      <c r="A15" s="9" t="inlineStr">
        <is>
          <t>Creado con CalculaFácil · calculafacil.app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15">
    <mergeCell ref="A10:C10"/>
    <mergeCell ref="A4:H4"/>
    <mergeCell ref="A3:H3"/>
    <mergeCell ref="D8:H8"/>
    <mergeCell ref="A11:C11"/>
    <mergeCell ref="A15:H15"/>
    <mergeCell ref="A7:H7"/>
    <mergeCell ref="D10:H10"/>
    <mergeCell ref="A2:H2"/>
    <mergeCell ref="A8:C8"/>
    <mergeCell ref="D11:H11"/>
    <mergeCell ref="A9:C9"/>
    <mergeCell ref="A13:H13"/>
    <mergeCell ref="A5:H5"/>
    <mergeCell ref="D9:H9"/>
  </mergeCells>
  <pageMargins left="0.4" right="0.4" top="0.6" bottom="0.6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 ht="36" customHeight="1">
      <c r="A1" s="10" t="inlineStr">
        <is>
          <t>BIENVENIDO/A A TU CONTROL 2026/2027</t>
        </is>
      </c>
    </row>
    <row r="2" ht="20" customHeight="1">
      <c r="A2" s="11" t="inlineStr">
        <is>
          <t>CalculaFácil · tu cuaderno digital de curso</t>
        </is>
      </c>
    </row>
    <row r="4" ht="26" customHeight="1">
      <c r="A4" s="12" t="inlineStr">
        <is>
          <t>PARA QUÉ SIRVE ESTE ARCHIVO</t>
        </is>
      </c>
    </row>
    <row r="5" ht="59" customHeight="1">
      <c r="A5" s="13" t="inlineStr">
        <is>
          <t>Este libro es un cuaderno digital para estudiantes que no quieren jugarse la evaluación continua a la lotería. Tienes 5 pestañas (abajo): PORTADA, INSTRUCCIONES (esta), ASISTENCIA, NOTAS y MI CURSO. Todo se calcula solo.</t>
        </is>
      </c>
    </row>
    <row r="6" ht="76" customHeight="1">
      <c r="A6" s="13" t="inlineStr">
        <is>
          <t>Regla clave: en muchos centros, perder la EVALUACIÓN CONTINUA depende de tu porcentaje de FALTAS INJUSTIFICADAS sobre las clases. Introduce el porcentaje mínimo que te indique tu centro. Esta plantilla es orientativa y no sustituye la normativa oficial ni la información de tu profesor o secretaría.</t>
        </is>
      </c>
    </row>
    <row r="8" ht="26" customHeight="1">
      <c r="A8" s="12" t="inlineStr">
        <is>
          <t>🚀 EMPIEZA AQUÍ (en 4 pasos)</t>
        </is>
      </c>
    </row>
    <row r="9" ht="59" customHeight="1">
      <c r="A9" s="13" t="inlineStr">
        <is>
          <t>1. Ve a ASISTENCIA → escribe tus asignaturas en la tabla 'ASISTENCIA POR ASIGNATURA' (primera columna) y las CLASES PREVISTAS de cada una. Revisa en CONFIGURACIÓN GLOBAL el MÍNIMO DE ASISTENCIA PERMITIDO.</t>
        </is>
      </c>
    </row>
    <row r="10" ht="42" customHeight="1">
      <c r="A10" s="13" t="inlineStr">
        <is>
          <t>2. Registra cada día tus faltas injustificadas, justificadas o retrasos con una X en el registro de arriba.</t>
        </is>
      </c>
    </row>
    <row r="11" ht="42" customHeight="1">
      <c r="A11" s="13" t="inlineStr">
        <is>
          <t>3. Ve a NOTAS → elige tus asignaturas con el desplegable de la columna ASIGNATURA y escribe tus notas y pesos (%).</t>
        </is>
      </c>
    </row>
    <row r="12" ht="42" customHeight="1">
      <c r="A12" s="13" t="inlineStr">
        <is>
          <t>4. Mira MI CURSO → tu resumen: media simple, objetivo, asistencia y cómo vas por asignatura. Todo se actualiza solo.</t>
        </is>
      </c>
    </row>
    <row r="14" ht="26" customHeight="1">
      <c r="A14" s="12" t="inlineStr">
        <is>
          <t>HOJA ASISTENCIA · CÓMO USARLA EN 5 PASOS</t>
        </is>
      </c>
    </row>
    <row r="15" ht="59" customHeight="1">
      <c r="A15" s="13" t="inlineStr">
        <is>
          <t>1. En la tabla 'ASISTENCIA POR ASIGNATURA' escribe cada asignatura y su número de clases previstas. El MÍNIMO DE ASISTENCIA PERMITIDO se pone una sola vez en CONFIGURACIÓN GLOBAL (por defecto 80).</t>
        </is>
      </c>
    </row>
    <row r="16" ht="42" customHeight="1">
      <c r="A16" s="13" t="inlineStr">
        <is>
          <t>2. En el registro de arriba: en Fecha el día, en Asignatura elige tu asignatura (lista desplegable) y pon una X en FALTA INJUSTIFICADA, FALTA JUSTIFICADA o RETRASO según el caso.</t>
        </is>
      </c>
    </row>
    <row r="17" ht="42" customHeight="1">
      <c r="A17" s="13" t="inlineStr">
        <is>
          <t>3. Rellena Observaciones si quieres acordarte por qué faltaste. Todo esto se puede escribir a mano o copiar/pegar.</t>
        </is>
      </c>
    </row>
    <row r="18" ht="42" customHeight="1">
      <c r="A18" s="13" t="inlineStr">
        <is>
          <t>4. La tabla POR ASIGNATURA (abajo) se actualiza sola: faltas, justificadas, retrasos, % de asistencia y el ESTADO de cada asignatura frente a su límite.</t>
        </is>
      </c>
    </row>
    <row r="19" ht="59" customHeight="1">
      <c r="A19" s="13" t="inlineStr">
        <is>
          <t>5. Cálculo del %: cada falta injustificada cuenta 1 jornada y cada retraso equivale a lo que pongas en CONFIGURACIÓN GLOBAL (0,5 por defecto = media jornada). Las faltas justificadas no restan.</t>
        </is>
      </c>
    </row>
    <row r="20" ht="42" customHeight="1">
      <c r="A20" s="13" t="inlineStr">
        <is>
          <t>Consejo: no hace falta rellenar las 50 filas del registro; usa las que necesites y deja el resto vacías.</t>
        </is>
      </c>
    </row>
    <row r="21" ht="59" customHeight="1">
      <c r="A21" s="13" t="inlineStr">
        <is>
          <t>IMPORTANTE: las asignaturas se escriben UNA sola vez, en la tabla POR ASIGNATURA de ASISTENCIA. En NOTAS y en el registro las eliges con desplegables; en MI CURSO aparecen solas. Así todo cruza por nombre: puedes quitar o añadir asignaturas sin que se rompa nada.</t>
        </is>
      </c>
    </row>
    <row r="23" ht="26" customHeight="1">
      <c r="A23" s="12" t="inlineStr">
        <is>
          <t>COLUMNA POR COLUMNA (hoja ASISTENCIA)</t>
        </is>
      </c>
    </row>
    <row r="24" ht="59" customHeight="1">
      <c r="A24" s="13" t="inlineStr">
        <is>
          <t>FECHA = el día de la clase. ASIGNATURA = elige tu materia (desplegable). FALTA INJUSTIFICADA (X) = faltaste sin justificar. FALTA JUSTIFICADA (X) = justificaste a tiempo (no resta). RETRASO (X) = llegaste tarde (equivale a lo que configures).</t>
        </is>
      </c>
    </row>
    <row r="25" ht="42" customHeight="1">
      <c r="A25" s="13" t="inlineStr">
        <is>
          <t>Las columnas de la X solo aceptan una X o un espacio vacío (llevan lista desplegable: haz clic en la celda y elige).</t>
        </is>
      </c>
    </row>
    <row r="27" ht="26" customHeight="1">
      <c r="A27" s="12" t="inlineStr">
        <is>
          <t>QUÉ SIGNIFICAN LOS COLORES</t>
        </is>
      </c>
    </row>
    <row r="28" ht="42" customHeight="1">
      <c r="A28" s="13" t="inlineStr">
        <is>
          <t>VERDE = A SALVO, el % está por encima de tu límite + 1. ÁMBAR = ATENCIÓN, justo en el límite. ROJO = PELIGRO, por debajo del mínimo que marque tu centro.</t>
        </is>
      </c>
    </row>
    <row r="29" ht="59" customHeight="1">
      <c r="A29" s="13" t="inlineStr">
        <is>
          <t>IMPORTANTE: cambiar el MÍNIMO DE ASISTENCIA PERMITIDO (CONFIGURACIÓN GLOBAL) cambia los COLORES, pero NO los % de asistencia. Los % solo cambian con las X que pongas y con las clases previstas reales de cada asignatura.</t>
        </is>
      </c>
    </row>
    <row r="31" ht="26" customHeight="1">
      <c r="A31" s="12" t="inlineStr">
        <is>
          <t>HOJA NOTAS · CÓMO USARLA</t>
        </is>
      </c>
    </row>
    <row r="32" ht="42" customHeight="1">
      <c r="A32" s="13" t="inlineStr">
        <is>
          <t>Tienes hueco para hasta 5 notas por asignatura (NOTA 1 a NOTA 5). Usa 1, 2, 3 o 4 si quieres; las casillas que no necesites déjalas vacías. La MEDIA se calcula sola, ignorando las vacías.</t>
        </is>
      </c>
    </row>
    <row r="33" ht="42" customHeight="1">
      <c r="A33" s="13" t="inlineStr">
        <is>
          <t>PESO (%) = cuánto pesa cada asignatura en tu centro (normalmente suman 100). El TOTAL PESO se pone VERDE cuando suma 100 y ROJO cuando no: ajústalo hasta que se ponga verde.</t>
        </is>
      </c>
    </row>
    <row r="34" ht="42" customHeight="1">
      <c r="A34" s="13" t="inlineStr">
        <is>
          <t>NOTA FINAL PONDERADA es tu media con pesos: se calcula sola. Aunque tus pesos no sumen 100, sigue siendo tu media ponderada correcta.</t>
        </is>
      </c>
    </row>
    <row r="35" ht="59" customHeight="1">
      <c r="A35" s="13" t="inlineStr">
        <is>
          <t>Diferencia clave: la MEDIA SIMPLE DEL CURSO (MI CURSO) cuenta todas las asignaturas por igual, mientras que la NOTA FINAL PONDERADA (esta pestaña) da más peso a las asignaturas que más cuentan en tu centro. Son dos medias distintas y de las dos puedes fiarte.</t>
        </is>
      </c>
    </row>
    <row r="36" ht="25" customHeight="1">
      <c r="A36" s="13" t="inlineStr">
        <is>
          <t>El verde/rojo de la columna MEDIA te dice si cada asignatura está aprobada o suspendida.</t>
        </is>
      </c>
    </row>
    <row r="37" ht="42" customHeight="1">
      <c r="A37" s="13" t="inlineStr">
        <is>
          <t>Las ASIGNATURAS se eligen con el desplegable de la columna ASIGNATURA (salen de tu lista en ASISTENCIA). Puedes ponerlas en el orden que quieras y quitar la que ya no curses.</t>
        </is>
      </c>
    </row>
    <row r="38" ht="59" customHeight="1">
      <c r="A38" s="13" t="inlineStr">
        <is>
          <t>Más abajo tienes la mini-calculadora ESTIMACIÓN EXAMEN: escribe la nota deseada, tu nota actual y cuánto pesa el examen, y te dice la nota que te hace falta. (Es un cálculo orientativo, no oficial.)</t>
        </is>
      </c>
    </row>
    <row r="40" ht="26" customHeight="1">
      <c r="A40" s="12" t="inlineStr">
        <is>
          <t>HOJA MI CURSO (TU CUADRO DE MANDOS)</t>
        </is>
      </c>
    </row>
    <row r="41" ht="76" customHeight="1">
      <c r="A41" s="13" t="inlineStr">
        <is>
          <t>Arriba tienes el resumen del curso: MEDIA SIMPLE DEL CURSO (la media aritmética de tus asignaturas), % DE ASISTENCIA GLOBAL con semáforo, total de FALTAS y el MÍNIMO DE ASISTENCIA PERMITIDO. Todo se lee solo de ASISTENCIA y NOTAS (el mínimo se cambia en ASISTENCIA → CONFIGURACIÓN GLOBAL).</t>
        </is>
      </c>
    </row>
    <row r="42" ht="42" customHeight="1">
      <c r="A42" s="13" t="inlineStr">
        <is>
          <t>En MI OBJETIVO escribe la nota que quieres conseguir (ej. 8) y verás cuánto te falta. El bloque ASISTENCIA vs MÍNIMO te dice si vas bien, justo o en peligro y con cuánto margen.</t>
        </is>
      </c>
    </row>
    <row r="43" ht="110" customHeight="1">
      <c r="A43" s="13" t="inlineStr">
        <is>
          <t>La tabla por asignatura se rellena SOLA con tu lista de ASISTENCIA: no se escribe ni borra nada aquí. Las CLASES PREVISTAS se escriben en ASISTENCIA (tabla POR ASIGNATURA): de ahí salen el % ASIST. y el ESTADO. FALTAS, MEDIA, % ASIST. y ESTADO se actualizan solos. Para quitar una asignatura del resumen, bórrala de la lista en ASISTENCIA. La barra de FALTAS es SOLO ORIENTATIVA (su tamaño depende del número de faltas); el ESTADO se calcula con tus clases previstas y el mínimo configurado.</t>
        </is>
      </c>
    </row>
    <row r="44" ht="59" customHeight="1">
      <c r="A44" s="13" t="inlineStr">
        <is>
          <t>No necesitas desproteger ninguna hoja: todos los campos que debes tocar están desbloqueados y son de color. Los cálculos van bloqueados A PROPÓSITO (con contraseña) para que no se puedan romper por error. Si algo se borra por accidente, pulsa Ctrl+Z (deshacer) y vuelve a la normalidad.</t>
        </is>
      </c>
    </row>
    <row r="46" ht="26" customHeight="1">
      <c r="A46" s="12" t="inlineStr">
        <is>
          <t>PREPARADO PARA IMPRIMIR</t>
        </is>
      </c>
    </row>
    <row r="47" ht="42" customHeight="1">
      <c r="A47" s="13" t="inlineStr">
        <is>
          <t>Cada hoja está lista para imprimir en A4 horizontal si la necesitas en papel para pegarla en tu corcho. Archivo &gt; Imprimir &gt; Orientación horizontal.</t>
        </is>
      </c>
    </row>
    <row r="49" ht="26" customHeight="1">
      <c r="A49" s="12" t="inlineStr">
        <is>
          <t>LICENCIA DE USO</t>
        </is>
      </c>
    </row>
    <row r="50" ht="42" customHeight="1">
      <c r="A50" s="13" t="inlineStr">
        <is>
          <t>Has comprado este archivo en CalculaFácil (calculafacil.app) para llevar tu propio curso 2026/2027: notas, faltas y medias. Puedes instalarlo y usarlo en todos tus dispositivos personales.</t>
        </is>
      </c>
    </row>
    <row r="51" ht="42" customHeight="1">
      <c r="A51" s="13" t="inlineStr">
        <is>
          <t>Queda PROHIBIDO redistribuirlo, pasárselo a otras personas, subirlo a internet o revenderlo. Esta prohibición incluye tanto el archivo Excel como la guía PDF que lo acompaña.</t>
        </is>
      </c>
    </row>
    <row r="52" ht="42" customHeight="1">
      <c r="A52" s="13" t="inlineStr">
        <is>
          <t>Creado con CalculaFácil · ¿Dudas? Escribe cualquier pregunta en la web y te contestamos. ¡A por un curso tranquilo!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43">
    <mergeCell ref="A32:G32"/>
    <mergeCell ref="A14:G14"/>
    <mergeCell ref="A17:G17"/>
    <mergeCell ref="A8:G8"/>
    <mergeCell ref="A35:G35"/>
    <mergeCell ref="A4:G4"/>
    <mergeCell ref="A20:G20"/>
    <mergeCell ref="A38:G38"/>
    <mergeCell ref="A29:G29"/>
    <mergeCell ref="A42:G42"/>
    <mergeCell ref="A52:G52"/>
    <mergeCell ref="A43:G43"/>
    <mergeCell ref="A19:G19"/>
    <mergeCell ref="A10:G10"/>
    <mergeCell ref="A28:G28"/>
    <mergeCell ref="A44:G44"/>
    <mergeCell ref="A40:G40"/>
    <mergeCell ref="A9:G9"/>
    <mergeCell ref="A31:G31"/>
    <mergeCell ref="A34:G34"/>
    <mergeCell ref="A24:G24"/>
    <mergeCell ref="A15:G15"/>
    <mergeCell ref="A11:G11"/>
    <mergeCell ref="A49:G49"/>
    <mergeCell ref="A51:G51"/>
    <mergeCell ref="A36:G36"/>
    <mergeCell ref="A1:G1"/>
    <mergeCell ref="A6:G6"/>
    <mergeCell ref="A16:G16"/>
    <mergeCell ref="A25:G25"/>
    <mergeCell ref="A41:G41"/>
    <mergeCell ref="A37:G37"/>
    <mergeCell ref="A46:G46"/>
    <mergeCell ref="A18:G18"/>
    <mergeCell ref="A27:G27"/>
    <mergeCell ref="A21:G21"/>
    <mergeCell ref="A12:G12"/>
    <mergeCell ref="A50:G50"/>
    <mergeCell ref="A2:G2"/>
    <mergeCell ref="A33:G33"/>
    <mergeCell ref="A47:G47"/>
    <mergeCell ref="A5:G5"/>
    <mergeCell ref="A23:G23"/>
  </mergeCells>
  <pageMargins left="0.4" right="0.4" top="0.6" bottom="0.6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I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2" customWidth="1" min="4" max="4"/>
    <col width="14" customWidth="1" min="5" max="5"/>
    <col width="13" customWidth="1" min="6" max="6"/>
    <col width="20" customWidth="1" min="7" max="7"/>
    <col width="12" customWidth="1" min="8" max="8"/>
    <col width="16" customWidth="1" min="9" max="9"/>
  </cols>
  <sheetData>
    <row r="1" ht="40" customHeight="1">
      <c r="B1" s="14" t="inlineStr">
        <is>
          <t>CONTROL DE ASISTENCIA 2026/2027</t>
        </is>
      </c>
    </row>
    <row r="2" ht="23" customHeight="1">
      <c r="B2" s="11" t="inlineStr">
        <is>
          <t>Registra cada día con una X · Cada asignatura se resume abajo, sola</t>
        </is>
      </c>
    </row>
    <row r="4" ht="40" customHeight="1">
      <c r="B4" s="15" t="inlineStr">
        <is>
          <t>Fecha</t>
        </is>
      </c>
      <c r="C4" s="15" t="inlineStr">
        <is>
          <t>Asignatura</t>
        </is>
      </c>
      <c r="D4" s="15" t="inlineStr">
        <is>
          <t>Falta injustificada</t>
        </is>
      </c>
      <c r="E4" s="15" t="inlineStr">
        <is>
          <t>Falta justificada</t>
        </is>
      </c>
      <c r="F4" s="15" t="inlineStr">
        <is>
          <t>Retraso</t>
        </is>
      </c>
      <c r="G4" s="15" t="inlineStr">
        <is>
          <t>Observaciones</t>
        </is>
      </c>
    </row>
    <row r="5" ht="20" customHeight="1">
      <c r="B5" s="16" t="n"/>
      <c r="C5" s="17" t="n"/>
      <c r="D5" s="18" t="n"/>
      <c r="E5" s="18" t="n"/>
      <c r="F5" s="18" t="n"/>
      <c r="G5" s="19" t="n"/>
    </row>
    <row r="6" ht="20" customHeight="1">
      <c r="B6" s="16" t="n"/>
      <c r="C6" s="17" t="n"/>
      <c r="D6" s="18" t="n"/>
      <c r="E6" s="18" t="n"/>
      <c r="F6" s="18" t="n"/>
      <c r="G6" s="19" t="n"/>
    </row>
    <row r="7" ht="20" customHeight="1">
      <c r="B7" s="16" t="n"/>
      <c r="C7" s="17" t="n"/>
      <c r="D7" s="18" t="n"/>
      <c r="E7" s="18" t="n"/>
      <c r="F7" s="18" t="n"/>
      <c r="G7" s="19" t="n"/>
    </row>
    <row r="8" ht="20" customHeight="1">
      <c r="B8" s="16" t="n"/>
      <c r="C8" s="17" t="n"/>
      <c r="D8" s="18" t="n"/>
      <c r="E8" s="18" t="n"/>
      <c r="F8" s="18" t="n"/>
      <c r="G8" s="19" t="n"/>
    </row>
    <row r="9" ht="20" customHeight="1">
      <c r="B9" s="16" t="n"/>
      <c r="C9" s="17" t="n"/>
      <c r="D9" s="18" t="n"/>
      <c r="E9" s="18" t="n"/>
      <c r="F9" s="18" t="n"/>
      <c r="G9" s="19" t="n"/>
    </row>
    <row r="10" ht="20" customHeight="1">
      <c r="B10" s="16" t="n"/>
      <c r="C10" s="17" t="n"/>
      <c r="D10" s="18" t="n"/>
      <c r="E10" s="18" t="n"/>
      <c r="F10" s="18" t="n"/>
      <c r="G10" s="19" t="n"/>
    </row>
    <row r="11" ht="20" customHeight="1">
      <c r="B11" s="16" t="n"/>
      <c r="C11" s="17" t="n"/>
      <c r="D11" s="18" t="n"/>
      <c r="E11" s="18" t="n"/>
      <c r="F11" s="18" t="n"/>
      <c r="G11" s="19" t="n"/>
    </row>
    <row r="12" ht="20" customHeight="1">
      <c r="B12" s="16" t="n"/>
      <c r="C12" s="17" t="n"/>
      <c r="D12" s="18" t="n"/>
      <c r="E12" s="18" t="n"/>
      <c r="F12" s="18" t="n"/>
      <c r="G12" s="19" t="n"/>
    </row>
    <row r="13" ht="20" customHeight="1">
      <c r="B13" s="16" t="n"/>
      <c r="C13" s="17" t="n"/>
      <c r="D13" s="18" t="n"/>
      <c r="E13" s="18" t="n"/>
      <c r="F13" s="18" t="n"/>
      <c r="G13" s="19" t="n"/>
    </row>
    <row r="14" ht="20" customHeight="1">
      <c r="B14" s="16" t="n"/>
      <c r="C14" s="17" t="n"/>
      <c r="D14" s="18" t="n"/>
      <c r="E14" s="18" t="n"/>
      <c r="F14" s="18" t="n"/>
      <c r="G14" s="19" t="n"/>
    </row>
    <row r="15" ht="20" customHeight="1">
      <c r="B15" s="16" t="n"/>
      <c r="C15" s="17" t="n"/>
      <c r="D15" s="18" t="n"/>
      <c r="E15" s="18" t="n"/>
      <c r="F15" s="18" t="n"/>
      <c r="G15" s="19" t="n"/>
    </row>
    <row r="16" ht="20" customHeight="1">
      <c r="B16" s="16" t="n"/>
      <c r="C16" s="17" t="n"/>
      <c r="D16" s="18" t="n"/>
      <c r="E16" s="18" t="n"/>
      <c r="F16" s="18" t="n"/>
      <c r="G16" s="19" t="n"/>
    </row>
    <row r="17" ht="20" customHeight="1">
      <c r="B17" s="16" t="n"/>
      <c r="C17" s="17" t="n"/>
      <c r="D17" s="18" t="n"/>
      <c r="E17" s="18" t="n"/>
      <c r="F17" s="18" t="n"/>
      <c r="G17" s="19" t="n"/>
    </row>
    <row r="18" ht="20" customHeight="1">
      <c r="B18" s="16" t="n"/>
      <c r="C18" s="17" t="n"/>
      <c r="D18" s="18" t="n"/>
      <c r="E18" s="18" t="n"/>
      <c r="F18" s="18" t="n"/>
      <c r="G18" s="19" t="n"/>
    </row>
    <row r="19" ht="20" customHeight="1">
      <c r="B19" s="16" t="n"/>
      <c r="C19" s="17" t="n"/>
      <c r="D19" s="18" t="n"/>
      <c r="E19" s="18" t="n"/>
      <c r="F19" s="18" t="n"/>
      <c r="G19" s="19" t="n"/>
    </row>
    <row r="20" ht="20" customHeight="1">
      <c r="B20" s="16" t="n"/>
      <c r="C20" s="17" t="n"/>
      <c r="D20" s="18" t="n"/>
      <c r="E20" s="18" t="n"/>
      <c r="F20" s="18" t="n"/>
      <c r="G20" s="19" t="n"/>
    </row>
    <row r="21" ht="20" customHeight="1">
      <c r="B21" s="16" t="n"/>
      <c r="C21" s="17" t="n"/>
      <c r="D21" s="18" t="n"/>
      <c r="E21" s="18" t="n"/>
      <c r="F21" s="18" t="n"/>
      <c r="G21" s="19" t="n"/>
    </row>
    <row r="22" ht="20" customHeight="1">
      <c r="B22" s="16" t="n"/>
      <c r="C22" s="17" t="n"/>
      <c r="D22" s="18" t="n"/>
      <c r="E22" s="18" t="n"/>
      <c r="F22" s="18" t="n"/>
      <c r="G22" s="19" t="n"/>
    </row>
    <row r="23" ht="20" customHeight="1">
      <c r="B23" s="16" t="n"/>
      <c r="C23" s="17" t="n"/>
      <c r="D23" s="18" t="n"/>
      <c r="E23" s="18" t="n"/>
      <c r="F23" s="18" t="n"/>
      <c r="G23" s="19" t="n"/>
    </row>
    <row r="24" ht="20" customHeight="1">
      <c r="B24" s="16" t="n"/>
      <c r="C24" s="17" t="n"/>
      <c r="D24" s="18" t="n"/>
      <c r="E24" s="18" t="n"/>
      <c r="F24" s="18" t="n"/>
      <c r="G24" s="19" t="n"/>
    </row>
    <row r="25" ht="20" customHeight="1">
      <c r="B25" s="16" t="n"/>
      <c r="C25" s="17" t="n"/>
      <c r="D25" s="18" t="n"/>
      <c r="E25" s="18" t="n"/>
      <c r="F25" s="18" t="n"/>
      <c r="G25" s="19" t="n"/>
    </row>
    <row r="26" ht="20" customHeight="1">
      <c r="B26" s="16" t="n"/>
      <c r="C26" s="17" t="n"/>
      <c r="D26" s="18" t="n"/>
      <c r="E26" s="18" t="n"/>
      <c r="F26" s="18" t="n"/>
      <c r="G26" s="19" t="n"/>
    </row>
    <row r="27" ht="20" customHeight="1">
      <c r="B27" s="16" t="n"/>
      <c r="C27" s="17" t="n"/>
      <c r="D27" s="18" t="n"/>
      <c r="E27" s="18" t="n"/>
      <c r="F27" s="18" t="n"/>
      <c r="G27" s="19" t="n"/>
    </row>
    <row r="28" ht="20" customHeight="1">
      <c r="B28" s="16" t="n"/>
      <c r="C28" s="17" t="n"/>
      <c r="D28" s="18" t="n"/>
      <c r="E28" s="18" t="n"/>
      <c r="F28" s="18" t="n"/>
      <c r="G28" s="19" t="n"/>
    </row>
    <row r="29" ht="20" customHeight="1">
      <c r="B29" s="16" t="n"/>
      <c r="C29" s="17" t="n"/>
      <c r="D29" s="18" t="n"/>
      <c r="E29" s="18" t="n"/>
      <c r="F29" s="18" t="n"/>
      <c r="G29" s="19" t="n"/>
    </row>
    <row r="30" ht="20" customHeight="1">
      <c r="B30" s="16" t="n"/>
      <c r="C30" s="17" t="n"/>
      <c r="D30" s="18" t="n"/>
      <c r="E30" s="18" t="n"/>
      <c r="F30" s="18" t="n"/>
      <c r="G30" s="19" t="n"/>
    </row>
    <row r="31" ht="20" customHeight="1">
      <c r="B31" s="16" t="n"/>
      <c r="C31" s="17" t="n"/>
      <c r="D31" s="18" t="n"/>
      <c r="E31" s="18" t="n"/>
      <c r="F31" s="18" t="n"/>
      <c r="G31" s="19" t="n"/>
    </row>
    <row r="32" ht="20" customHeight="1">
      <c r="B32" s="16" t="n"/>
      <c r="C32" s="17" t="n"/>
      <c r="D32" s="18" t="n"/>
      <c r="E32" s="18" t="n"/>
      <c r="F32" s="18" t="n"/>
      <c r="G32" s="19" t="n"/>
    </row>
    <row r="33" ht="20" customHeight="1">
      <c r="B33" s="16" t="n"/>
      <c r="C33" s="17" t="n"/>
      <c r="D33" s="18" t="n"/>
      <c r="E33" s="18" t="n"/>
      <c r="F33" s="18" t="n"/>
      <c r="G33" s="19" t="n"/>
    </row>
    <row r="34" ht="20" customHeight="1">
      <c r="B34" s="16" t="n"/>
      <c r="C34" s="17" t="n"/>
      <c r="D34" s="18" t="n"/>
      <c r="E34" s="18" t="n"/>
      <c r="F34" s="18" t="n"/>
      <c r="G34" s="19" t="n"/>
    </row>
    <row r="35" ht="20" customHeight="1">
      <c r="B35" s="16" t="n"/>
      <c r="C35" s="17" t="n"/>
      <c r="D35" s="18" t="n"/>
      <c r="E35" s="18" t="n"/>
      <c r="F35" s="18" t="n"/>
      <c r="G35" s="19" t="n"/>
    </row>
    <row r="36" ht="20" customHeight="1">
      <c r="B36" s="16" t="n"/>
      <c r="C36" s="17" t="n"/>
      <c r="D36" s="18" t="n"/>
      <c r="E36" s="18" t="n"/>
      <c r="F36" s="18" t="n"/>
      <c r="G36" s="19" t="n"/>
    </row>
    <row r="37" ht="20" customHeight="1">
      <c r="B37" s="16" t="n"/>
      <c r="C37" s="17" t="n"/>
      <c r="D37" s="18" t="n"/>
      <c r="E37" s="18" t="n"/>
      <c r="F37" s="18" t="n"/>
      <c r="G37" s="19" t="n"/>
    </row>
    <row r="38" ht="20" customHeight="1">
      <c r="B38" s="16" t="n"/>
      <c r="C38" s="17" t="n"/>
      <c r="D38" s="18" t="n"/>
      <c r="E38" s="18" t="n"/>
      <c r="F38" s="18" t="n"/>
      <c r="G38" s="19" t="n"/>
    </row>
    <row r="39" ht="20" customHeight="1">
      <c r="B39" s="16" t="n"/>
      <c r="C39" s="17" t="n"/>
      <c r="D39" s="18" t="n"/>
      <c r="E39" s="18" t="n"/>
      <c r="F39" s="18" t="n"/>
      <c r="G39" s="19" t="n"/>
    </row>
    <row r="40" ht="20" customHeight="1">
      <c r="B40" s="16" t="n"/>
      <c r="C40" s="17" t="n"/>
      <c r="D40" s="18" t="n"/>
      <c r="E40" s="18" t="n"/>
      <c r="F40" s="18" t="n"/>
      <c r="G40" s="19" t="n"/>
    </row>
    <row r="41" ht="20" customHeight="1">
      <c r="B41" s="16" t="n"/>
      <c r="C41" s="17" t="n"/>
      <c r="D41" s="18" t="n"/>
      <c r="E41" s="18" t="n"/>
      <c r="F41" s="18" t="n"/>
      <c r="G41" s="19" t="n"/>
    </row>
    <row r="42" ht="20" customHeight="1">
      <c r="B42" s="16" t="n"/>
      <c r="C42" s="17" t="n"/>
      <c r="D42" s="18" t="n"/>
      <c r="E42" s="18" t="n"/>
      <c r="F42" s="18" t="n"/>
      <c r="G42" s="19" t="n"/>
    </row>
    <row r="43" ht="20" customHeight="1">
      <c r="B43" s="16" t="n"/>
      <c r="C43" s="17" t="n"/>
      <c r="D43" s="18" t="n"/>
      <c r="E43" s="18" t="n"/>
      <c r="F43" s="18" t="n"/>
      <c r="G43" s="19" t="n"/>
    </row>
    <row r="44" ht="20" customHeight="1">
      <c r="B44" s="16" t="n"/>
      <c r="C44" s="17" t="n"/>
      <c r="D44" s="18" t="n"/>
      <c r="E44" s="18" t="n"/>
      <c r="F44" s="18" t="n"/>
      <c r="G44" s="19" t="n"/>
    </row>
    <row r="45" ht="20" customHeight="1">
      <c r="B45" s="16" t="n"/>
      <c r="C45" s="17" t="n"/>
      <c r="D45" s="18" t="n"/>
      <c r="E45" s="18" t="n"/>
      <c r="F45" s="18" t="n"/>
      <c r="G45" s="19" t="n"/>
    </row>
    <row r="46" ht="20" customHeight="1">
      <c r="B46" s="16" t="n"/>
      <c r="C46" s="17" t="n"/>
      <c r="D46" s="18" t="n"/>
      <c r="E46" s="18" t="n"/>
      <c r="F46" s="18" t="n"/>
      <c r="G46" s="19" t="n"/>
    </row>
    <row r="47" ht="20" customHeight="1">
      <c r="B47" s="16" t="n"/>
      <c r="C47" s="17" t="n"/>
      <c r="D47" s="18" t="n"/>
      <c r="E47" s="18" t="n"/>
      <c r="F47" s="18" t="n"/>
      <c r="G47" s="19" t="n"/>
    </row>
    <row r="48" ht="20" customHeight="1">
      <c r="B48" s="16" t="n"/>
      <c r="C48" s="17" t="n"/>
      <c r="D48" s="18" t="n"/>
      <c r="E48" s="18" t="n"/>
      <c r="F48" s="18" t="n"/>
      <c r="G48" s="19" t="n"/>
    </row>
    <row r="49" ht="20" customHeight="1">
      <c r="B49" s="16" t="n"/>
      <c r="C49" s="17" t="n"/>
      <c r="D49" s="18" t="n"/>
      <c r="E49" s="18" t="n"/>
      <c r="F49" s="18" t="n"/>
      <c r="G49" s="19" t="n"/>
    </row>
    <row r="50" ht="20" customHeight="1">
      <c r="B50" s="16" t="n"/>
      <c r="C50" s="17" t="n"/>
      <c r="D50" s="18" t="n"/>
      <c r="E50" s="18" t="n"/>
      <c r="F50" s="18" t="n"/>
      <c r="G50" s="19" t="n"/>
    </row>
    <row r="51" ht="20" customHeight="1">
      <c r="B51" s="16" t="n"/>
      <c r="C51" s="17" t="n"/>
      <c r="D51" s="18" t="n"/>
      <c r="E51" s="18" t="n"/>
      <c r="F51" s="18" t="n"/>
      <c r="G51" s="19" t="n"/>
    </row>
    <row r="52" ht="20" customHeight="1">
      <c r="B52" s="16" t="n"/>
      <c r="C52" s="17" t="n"/>
      <c r="D52" s="18" t="n"/>
      <c r="E52" s="18" t="n"/>
      <c r="F52" s="18" t="n"/>
      <c r="G52" s="19" t="n"/>
    </row>
    <row r="53" ht="20" customHeight="1">
      <c r="B53" s="16" t="n"/>
      <c r="C53" s="17" t="n"/>
      <c r="D53" s="18" t="n"/>
      <c r="E53" s="18" t="n"/>
      <c r="F53" s="18" t="n"/>
      <c r="G53" s="19" t="n"/>
    </row>
    <row r="54" ht="20" customHeight="1">
      <c r="B54" s="16" t="n"/>
      <c r="C54" s="17" t="n"/>
      <c r="D54" s="18" t="n"/>
      <c r="E54" s="18" t="n"/>
      <c r="F54" s="18" t="n"/>
      <c r="G54" s="19" t="n"/>
    </row>
    <row r="57" ht="26" customHeight="1">
      <c r="B57" s="20" t="inlineStr">
        <is>
          <t>ASISTENCIA POR ASIGNATURA · se calcula solo</t>
        </is>
      </c>
    </row>
    <row r="58" ht="40" customHeight="1">
      <c r="B58" s="21" t="inlineStr">
        <is>
          <t>ASIGNATURA</t>
        </is>
      </c>
      <c r="C58" s="21" t="inlineStr">
        <is>
          <t>CLASES PREVISTAS</t>
        </is>
      </c>
      <c r="D58" s="21" t="inlineStr">
        <is>
          <t>FALTAS</t>
        </is>
      </c>
      <c r="E58" s="21" t="inlineStr">
        <is>
          <t>JUSTIFICADAS</t>
        </is>
      </c>
      <c r="F58" s="21" t="inlineStr">
        <is>
          <t>RETRASOS</t>
        </is>
      </c>
      <c r="G58" s="21" t="inlineStr">
        <is>
          <t>ASISTENCIA</t>
        </is>
      </c>
      <c r="H58" s="21" t="inlineStr">
        <is>
          <t>LÍMITE</t>
        </is>
      </c>
      <c r="I58" s="21" t="inlineStr">
        <is>
          <t>ESTADO</t>
        </is>
      </c>
    </row>
    <row r="59" ht="22" customHeight="1">
      <c r="B59" s="22" t="n"/>
      <c r="C59" s="23" t="n"/>
      <c r="D59" s="24">
        <f>IF($B59="","",COUNTIFS($C$5:$C$54,$B59,$D$5:$D$54,"X"))</f>
        <v/>
      </c>
      <c r="E59" s="24">
        <f>IF($B59="","",COUNTIFS($C$5:$C$54,$B59,$E$5:$E$54,"X"))</f>
        <v/>
      </c>
      <c r="F59" s="24">
        <f>IF($B59="","",COUNTIFS($C$5:$C$54,$B59,$F$5:$F$54,"X"))</f>
        <v/>
      </c>
      <c r="G59" s="25">
        <f>IF(OR($C59="",$C59&lt;=0),"",ROUND(MAX(0,$C59-$D59-$F59*$C$83)/$C59*100,1))</f>
        <v/>
      </c>
      <c r="H59" s="26">
        <f>IF($C59="","",$C$82)</f>
        <v/>
      </c>
      <c r="I59" s="24">
        <f>IF($G59="","",IF($G59&gt;=$H59+1,"A SALVO",IF($G59&gt;=$H59,"ATENCIÓN","PELIGRO")))</f>
        <v/>
      </c>
    </row>
    <row r="60" ht="22" customHeight="1">
      <c r="B60" s="22" t="n"/>
      <c r="C60" s="23" t="n"/>
      <c r="D60" s="24">
        <f>IF($B60="","",COUNTIFS($C$5:$C$54,$B60,$D$5:$D$54,"X"))</f>
        <v/>
      </c>
      <c r="E60" s="24">
        <f>IF($B60="","",COUNTIFS($C$5:$C$54,$B60,$E$5:$E$54,"X"))</f>
        <v/>
      </c>
      <c r="F60" s="24">
        <f>IF($B60="","",COUNTIFS($C$5:$C$54,$B60,$F$5:$F$54,"X"))</f>
        <v/>
      </c>
      <c r="G60" s="25">
        <f>IF(OR($C60="",$C60&lt;=0),"",ROUND(MAX(0,$C60-$D60-$F60*$C$83)/$C60*100,1))</f>
        <v/>
      </c>
      <c r="H60" s="26">
        <f>IF($C60="","",$C$82)</f>
        <v/>
      </c>
      <c r="I60" s="24">
        <f>IF($G60="","",IF($G60&gt;=$H60+1,"A SALVO",IF($G60&gt;=$H60,"ATENCIÓN","PELIGRO")))</f>
        <v/>
      </c>
    </row>
    <row r="61" ht="22" customHeight="1">
      <c r="B61" s="22" t="n"/>
      <c r="C61" s="23" t="n"/>
      <c r="D61" s="24">
        <f>IF($B61="","",COUNTIFS($C$5:$C$54,$B61,$D$5:$D$54,"X"))</f>
        <v/>
      </c>
      <c r="E61" s="24">
        <f>IF($B61="","",COUNTIFS($C$5:$C$54,$B61,$E$5:$E$54,"X"))</f>
        <v/>
      </c>
      <c r="F61" s="24">
        <f>IF($B61="","",COUNTIFS($C$5:$C$54,$B61,$F$5:$F$54,"X"))</f>
        <v/>
      </c>
      <c r="G61" s="25">
        <f>IF(OR($C61="",$C61&lt;=0),"",ROUND(MAX(0,$C61-$D61-$F61*$C$83)/$C61*100,1))</f>
        <v/>
      </c>
      <c r="H61" s="26">
        <f>IF($C61="","",$C$82)</f>
        <v/>
      </c>
      <c r="I61" s="24">
        <f>IF($G61="","",IF($G61&gt;=$H61+1,"A SALVO",IF($G61&gt;=$H61,"ATENCIÓN","PELIGRO")))</f>
        <v/>
      </c>
    </row>
    <row r="62" ht="22" customHeight="1">
      <c r="B62" s="22" t="n"/>
      <c r="C62" s="23" t="n"/>
      <c r="D62" s="24">
        <f>IF($B62="","",COUNTIFS($C$5:$C$54,$B62,$D$5:$D$54,"X"))</f>
        <v/>
      </c>
      <c r="E62" s="24">
        <f>IF($B62="","",COUNTIFS($C$5:$C$54,$B62,$E$5:$E$54,"X"))</f>
        <v/>
      </c>
      <c r="F62" s="24">
        <f>IF($B62="","",COUNTIFS($C$5:$C$54,$B62,$F$5:$F$54,"X"))</f>
        <v/>
      </c>
      <c r="G62" s="25">
        <f>IF(OR($C62="",$C62&lt;=0),"",ROUND(MAX(0,$C62-$D62-$F62*$C$83)/$C62*100,1))</f>
        <v/>
      </c>
      <c r="H62" s="26">
        <f>IF($C62="","",$C$82)</f>
        <v/>
      </c>
      <c r="I62" s="24">
        <f>IF($G62="","",IF($G62&gt;=$H62+1,"A SALVO",IF($G62&gt;=$H62,"ATENCIÓN","PELIGRO")))</f>
        <v/>
      </c>
    </row>
    <row r="63" ht="22" customHeight="1">
      <c r="B63" s="22" t="n"/>
      <c r="C63" s="23" t="n"/>
      <c r="D63" s="24">
        <f>IF($B63="","",COUNTIFS($C$5:$C$54,$B63,$D$5:$D$54,"X"))</f>
        <v/>
      </c>
      <c r="E63" s="24">
        <f>IF($B63="","",COUNTIFS($C$5:$C$54,$B63,$E$5:$E$54,"X"))</f>
        <v/>
      </c>
      <c r="F63" s="24">
        <f>IF($B63="","",COUNTIFS($C$5:$C$54,$B63,$F$5:$F$54,"X"))</f>
        <v/>
      </c>
      <c r="G63" s="25">
        <f>IF(OR($C63="",$C63&lt;=0),"",ROUND(MAX(0,$C63-$D63-$F63*$C$83)/$C63*100,1))</f>
        <v/>
      </c>
      <c r="H63" s="26">
        <f>IF($C63="","",$C$82)</f>
        <v/>
      </c>
      <c r="I63" s="24">
        <f>IF($G63="","",IF($G63&gt;=$H63+1,"A SALVO",IF($G63&gt;=$H63,"ATENCIÓN","PELIGRO")))</f>
        <v/>
      </c>
    </row>
    <row r="64" ht="22" customHeight="1">
      <c r="B64" s="22" t="n"/>
      <c r="C64" s="23" t="n"/>
      <c r="D64" s="24">
        <f>IF($B64="","",COUNTIFS($C$5:$C$54,$B64,$D$5:$D$54,"X"))</f>
        <v/>
      </c>
      <c r="E64" s="24">
        <f>IF($B64="","",COUNTIFS($C$5:$C$54,$B64,$E$5:$E$54,"X"))</f>
        <v/>
      </c>
      <c r="F64" s="24">
        <f>IF($B64="","",COUNTIFS($C$5:$C$54,$B64,$F$5:$F$54,"X"))</f>
        <v/>
      </c>
      <c r="G64" s="25">
        <f>IF(OR($C64="",$C64&lt;=0),"",ROUND(MAX(0,$C64-$D64-$F64*$C$83)/$C64*100,1))</f>
        <v/>
      </c>
      <c r="H64" s="26">
        <f>IF($C64="","",$C$82)</f>
        <v/>
      </c>
      <c r="I64" s="24">
        <f>IF($G64="","",IF($G64&gt;=$H64+1,"A SALVO",IF($G64&gt;=$H64,"ATENCIÓN","PELIGRO")))</f>
        <v/>
      </c>
    </row>
    <row r="65" ht="22" customHeight="1">
      <c r="B65" s="22" t="n"/>
      <c r="C65" s="23" t="n"/>
      <c r="D65" s="24">
        <f>IF($B65="","",COUNTIFS($C$5:$C$54,$B65,$D$5:$D$54,"X"))</f>
        <v/>
      </c>
      <c r="E65" s="24">
        <f>IF($B65="","",COUNTIFS($C$5:$C$54,$B65,$E$5:$E$54,"X"))</f>
        <v/>
      </c>
      <c r="F65" s="24">
        <f>IF($B65="","",COUNTIFS($C$5:$C$54,$B65,$F$5:$F$54,"X"))</f>
        <v/>
      </c>
      <c r="G65" s="25">
        <f>IF(OR($C65="",$C65&lt;=0),"",ROUND(MAX(0,$C65-$D65-$F65*$C$83)/$C65*100,1))</f>
        <v/>
      </c>
      <c r="H65" s="26">
        <f>IF($C65="","",$C$82)</f>
        <v/>
      </c>
      <c r="I65" s="24">
        <f>IF($G65="","",IF($G65&gt;=$H65+1,"A SALVO",IF($G65&gt;=$H65,"ATENCIÓN","PELIGRO")))</f>
        <v/>
      </c>
    </row>
    <row r="66" ht="22" customHeight="1">
      <c r="B66" s="22" t="n"/>
      <c r="C66" s="23" t="n"/>
      <c r="D66" s="24">
        <f>IF($B66="","",COUNTIFS($C$5:$C$54,$B66,$D$5:$D$54,"X"))</f>
        <v/>
      </c>
      <c r="E66" s="24">
        <f>IF($B66="","",COUNTIFS($C$5:$C$54,$B66,$E$5:$E$54,"X"))</f>
        <v/>
      </c>
      <c r="F66" s="24">
        <f>IF($B66="","",COUNTIFS($C$5:$C$54,$B66,$F$5:$F$54,"X"))</f>
        <v/>
      </c>
      <c r="G66" s="25">
        <f>IF(OR($C66="",$C66&lt;=0),"",ROUND(MAX(0,$C66-$D66-$F66*$C$83)/$C66*100,1))</f>
        <v/>
      </c>
      <c r="H66" s="26">
        <f>IF($C66="","",$C$82)</f>
        <v/>
      </c>
      <c r="I66" s="24">
        <f>IF($G66="","",IF($G66&gt;=$H66+1,"A SALVO",IF($G66&gt;=$H66,"ATENCIÓN","PELIGRO")))</f>
        <v/>
      </c>
    </row>
    <row r="67" ht="22" customHeight="1">
      <c r="B67" s="22" t="n"/>
      <c r="C67" s="23" t="n"/>
      <c r="D67" s="24">
        <f>IF($B67="","",COUNTIFS($C$5:$C$54,$B67,$D$5:$D$54,"X"))</f>
        <v/>
      </c>
      <c r="E67" s="24">
        <f>IF($B67="","",COUNTIFS($C$5:$C$54,$B67,$E$5:$E$54,"X"))</f>
        <v/>
      </c>
      <c r="F67" s="24">
        <f>IF($B67="","",COUNTIFS($C$5:$C$54,$B67,$F$5:$F$54,"X"))</f>
        <v/>
      </c>
      <c r="G67" s="25">
        <f>IF(OR($C67="",$C67&lt;=0),"",ROUND(MAX(0,$C67-$D67-$F67*$C$83)/$C67*100,1))</f>
        <v/>
      </c>
      <c r="H67" s="26">
        <f>IF($C67="","",$C$82)</f>
        <v/>
      </c>
      <c r="I67" s="24">
        <f>IF($G67="","",IF($G67&gt;=$H67+1,"A SALVO",IF($G67&gt;=$H67,"ATENCIÓN","PELIGRO")))</f>
        <v/>
      </c>
    </row>
    <row r="68" ht="22" customHeight="1">
      <c r="B68" s="22" t="n"/>
      <c r="C68" s="23" t="n"/>
      <c r="D68" s="24">
        <f>IF($B68="","",COUNTIFS($C$5:$C$54,$B68,$D$5:$D$54,"X"))</f>
        <v/>
      </c>
      <c r="E68" s="24">
        <f>IF($B68="","",COUNTIFS($C$5:$C$54,$B68,$E$5:$E$54,"X"))</f>
        <v/>
      </c>
      <c r="F68" s="24">
        <f>IF($B68="","",COUNTIFS($C$5:$C$54,$B68,$F$5:$F$54,"X"))</f>
        <v/>
      </c>
      <c r="G68" s="25">
        <f>IF(OR($C68="",$C68&lt;=0),"",ROUND(MAX(0,$C68-$D68-$F68*$C$83)/$C68*100,1))</f>
        <v/>
      </c>
      <c r="H68" s="26">
        <f>IF($C68="","",$C$82)</f>
        <v/>
      </c>
      <c r="I68" s="24">
        <f>IF($G68="","",IF($G68&gt;=$H68+1,"A SALVO",IF($G68&gt;=$H68,"ATENCIÓN","PELIGRO")))</f>
        <v/>
      </c>
    </row>
    <row r="69" ht="22" customHeight="1">
      <c r="B69" s="22" t="n"/>
      <c r="C69" s="23" t="n"/>
      <c r="D69" s="24">
        <f>IF($B69="","",COUNTIFS($C$5:$C$54,$B69,$D$5:$D$54,"X"))</f>
        <v/>
      </c>
      <c r="E69" s="24">
        <f>IF($B69="","",COUNTIFS($C$5:$C$54,$B69,$E$5:$E$54,"X"))</f>
        <v/>
      </c>
      <c r="F69" s="24">
        <f>IF($B69="","",COUNTIFS($C$5:$C$54,$B69,$F$5:$F$54,"X"))</f>
        <v/>
      </c>
      <c r="G69" s="25">
        <f>IF(OR($C69="",$C69&lt;=0),"",ROUND(MAX(0,$C69-$D69-$F69*$C$83)/$C69*100,1))</f>
        <v/>
      </c>
      <c r="H69" s="26">
        <f>IF($C69="","",$C$82)</f>
        <v/>
      </c>
      <c r="I69" s="24">
        <f>IF($G69="","",IF($G69&gt;=$H69+1,"A SALVO",IF($G69&gt;=$H69,"ATENCIÓN","PELIGRO")))</f>
        <v/>
      </c>
    </row>
    <row r="70" ht="22" customHeight="1">
      <c r="B70" s="22" t="n"/>
      <c r="C70" s="23" t="n"/>
      <c r="D70" s="24">
        <f>IF($B70="","",COUNTIFS($C$5:$C$54,$B70,$D$5:$D$54,"X"))</f>
        <v/>
      </c>
      <c r="E70" s="24">
        <f>IF($B70="","",COUNTIFS($C$5:$C$54,$B70,$E$5:$E$54,"X"))</f>
        <v/>
      </c>
      <c r="F70" s="24">
        <f>IF($B70="","",COUNTIFS($C$5:$C$54,$B70,$F$5:$F$54,"X"))</f>
        <v/>
      </c>
      <c r="G70" s="25">
        <f>IF(OR($C70="",$C70&lt;=0),"",ROUND(MAX(0,$C70-$D70-$F70*$C$83)/$C70*100,1))</f>
        <v/>
      </c>
      <c r="H70" s="26">
        <f>IF($C70="","",$C$82)</f>
        <v/>
      </c>
      <c r="I70" s="24">
        <f>IF($G70="","",IF($G70&gt;=$H70+1,"A SALVO",IF($G70&gt;=$H70,"ATENCIÓN","PELIGRO")))</f>
        <v/>
      </c>
    </row>
    <row r="71" ht="22" customHeight="1">
      <c r="B71" s="22" t="n"/>
      <c r="C71" s="23" t="n"/>
      <c r="D71" s="24">
        <f>IF($B71="","",COUNTIFS($C$5:$C$54,$B71,$D$5:$D$54,"X"))</f>
        <v/>
      </c>
      <c r="E71" s="24">
        <f>IF($B71="","",COUNTIFS($C$5:$C$54,$B71,$E$5:$E$54,"X"))</f>
        <v/>
      </c>
      <c r="F71" s="24">
        <f>IF($B71="","",COUNTIFS($C$5:$C$54,$B71,$F$5:$F$54,"X"))</f>
        <v/>
      </c>
      <c r="G71" s="25">
        <f>IF(OR($C71="",$C71&lt;=0),"",ROUND(MAX(0,$C71-$D71-$F71*$C$83)/$C71*100,1))</f>
        <v/>
      </c>
      <c r="H71" s="26">
        <f>IF($C71="","",$C$82)</f>
        <v/>
      </c>
      <c r="I71" s="24">
        <f>IF($G71="","",IF($G71&gt;=$H71+1,"A SALVO",IF($G71&gt;=$H71,"ATENCIÓN","PELIGRO")))</f>
        <v/>
      </c>
    </row>
    <row r="72" ht="22" customHeight="1">
      <c r="B72" s="22" t="n"/>
      <c r="C72" s="23" t="n"/>
      <c r="D72" s="24">
        <f>IF($B72="","",COUNTIFS($C$5:$C$54,$B72,$D$5:$D$54,"X"))</f>
        <v/>
      </c>
      <c r="E72" s="24">
        <f>IF($B72="","",COUNTIFS($C$5:$C$54,$B72,$E$5:$E$54,"X"))</f>
        <v/>
      </c>
      <c r="F72" s="24">
        <f>IF($B72="","",COUNTIFS($C$5:$C$54,$B72,$F$5:$F$54,"X"))</f>
        <v/>
      </c>
      <c r="G72" s="25">
        <f>IF(OR($C72="",$C72&lt;=0),"",ROUND(MAX(0,$C72-$D72-$F72*$C$83)/$C72*100,1))</f>
        <v/>
      </c>
      <c r="H72" s="26">
        <f>IF($C72="","",$C$82)</f>
        <v/>
      </c>
      <c r="I72" s="24">
        <f>IF($G72="","",IF($G72&gt;=$H72+1,"A SALVO",IF($G72&gt;=$H72,"ATENCIÓN","PELIGRO")))</f>
        <v/>
      </c>
    </row>
    <row r="73" ht="22" customHeight="1">
      <c r="B73" s="22" t="n"/>
      <c r="C73" s="23" t="n"/>
      <c r="D73" s="24">
        <f>IF($B73="","",COUNTIFS($C$5:$C$54,$B73,$D$5:$D$54,"X"))</f>
        <v/>
      </c>
      <c r="E73" s="24">
        <f>IF($B73="","",COUNTIFS($C$5:$C$54,$B73,$E$5:$E$54,"X"))</f>
        <v/>
      </c>
      <c r="F73" s="24">
        <f>IF($B73="","",COUNTIFS($C$5:$C$54,$B73,$F$5:$F$54,"X"))</f>
        <v/>
      </c>
      <c r="G73" s="25">
        <f>IF(OR($C73="",$C73&lt;=0),"",ROUND(MAX(0,$C73-$D73-$F73*$C$83)/$C73*100,1))</f>
        <v/>
      </c>
      <c r="H73" s="26">
        <f>IF($C73="","",$C$82)</f>
        <v/>
      </c>
      <c r="I73" s="24">
        <f>IF($G73="","",IF($G73&gt;=$H73+1,"A SALVO",IF($G73&gt;=$H73,"ATENCIÓN","PELIGRO")))</f>
        <v/>
      </c>
    </row>
    <row r="74" ht="22" customHeight="1">
      <c r="B74" s="22" t="n"/>
      <c r="C74" s="23" t="n"/>
      <c r="D74" s="24">
        <f>IF($B74="","",COUNTIFS($C$5:$C$54,$B74,$D$5:$D$54,"X"))</f>
        <v/>
      </c>
      <c r="E74" s="24">
        <f>IF($B74="","",COUNTIFS($C$5:$C$54,$B74,$E$5:$E$54,"X"))</f>
        <v/>
      </c>
      <c r="F74" s="24">
        <f>IF($B74="","",COUNTIFS($C$5:$C$54,$B74,$F$5:$F$54,"X"))</f>
        <v/>
      </c>
      <c r="G74" s="25">
        <f>IF(OR($C74="",$C74&lt;=0),"",ROUND(MAX(0,$C74-$D74-$F74*$C$83)/$C74*100,1))</f>
        <v/>
      </c>
      <c r="H74" s="26">
        <f>IF($C74="","",$C$82)</f>
        <v/>
      </c>
      <c r="I74" s="24">
        <f>IF($G74="","",IF($G74&gt;=$H74+1,"A SALVO",IF($G74&gt;=$H74,"ATENCIÓN","PELIGRO")))</f>
        <v/>
      </c>
    </row>
    <row r="75" ht="22" customHeight="1">
      <c r="B75" s="22" t="n"/>
      <c r="C75" s="23" t="n"/>
      <c r="D75" s="24">
        <f>IF($B75="","",COUNTIFS($C$5:$C$54,$B75,$D$5:$D$54,"X"))</f>
        <v/>
      </c>
      <c r="E75" s="24">
        <f>IF($B75="","",COUNTIFS($C$5:$C$54,$B75,$E$5:$E$54,"X"))</f>
        <v/>
      </c>
      <c r="F75" s="24">
        <f>IF($B75="","",COUNTIFS($C$5:$C$54,$B75,$F$5:$F$54,"X"))</f>
        <v/>
      </c>
      <c r="G75" s="25">
        <f>IF(OR($C75="",$C75&lt;=0),"",ROUND(MAX(0,$C75-$D75-$F75*$C$83)/$C75*100,1))</f>
        <v/>
      </c>
      <c r="H75" s="26">
        <f>IF($C75="","",$C$82)</f>
        <v/>
      </c>
      <c r="I75" s="24">
        <f>IF($G75="","",IF($G75&gt;=$H75+1,"A SALVO",IF($G75&gt;=$H75,"ATENCIÓN","PELIGRO")))</f>
        <v/>
      </c>
    </row>
    <row r="76" ht="22" customHeight="1">
      <c r="B76" s="22" t="n"/>
      <c r="C76" s="23" t="n"/>
      <c r="D76" s="24">
        <f>IF($B76="","",COUNTIFS($C$5:$C$54,$B76,$D$5:$D$54,"X"))</f>
        <v/>
      </c>
      <c r="E76" s="24">
        <f>IF($B76="","",COUNTIFS($C$5:$C$54,$B76,$E$5:$E$54,"X"))</f>
        <v/>
      </c>
      <c r="F76" s="24">
        <f>IF($B76="","",COUNTIFS($C$5:$C$54,$B76,$F$5:$F$54,"X"))</f>
        <v/>
      </c>
      <c r="G76" s="25">
        <f>IF(OR($C76="",$C76&lt;=0),"",ROUND(MAX(0,$C76-$D76-$F76*$C$83)/$C76*100,1))</f>
        <v/>
      </c>
      <c r="H76" s="26">
        <f>IF($C76="","",$C$82)</f>
        <v/>
      </c>
      <c r="I76" s="24">
        <f>IF($G76="","",IF($G76&gt;=$H76+1,"A SALVO",IF($G76&gt;=$H76,"ATENCIÓN","PELIGRO")))</f>
        <v/>
      </c>
    </row>
    <row r="77" ht="22" customHeight="1">
      <c r="B77" s="22" t="n"/>
      <c r="C77" s="23" t="n"/>
      <c r="D77" s="24">
        <f>IF($B77="","",COUNTIFS($C$5:$C$54,$B77,$D$5:$D$54,"X"))</f>
        <v/>
      </c>
      <c r="E77" s="24">
        <f>IF($B77="","",COUNTIFS($C$5:$C$54,$B77,$E$5:$E$54,"X"))</f>
        <v/>
      </c>
      <c r="F77" s="24">
        <f>IF($B77="","",COUNTIFS($C$5:$C$54,$B77,$F$5:$F$54,"X"))</f>
        <v/>
      </c>
      <c r="G77" s="25">
        <f>IF(OR($C77="",$C77&lt;=0),"",ROUND(MAX(0,$C77-$D77-$F77*$C$83)/$C77*100,1))</f>
        <v/>
      </c>
      <c r="H77" s="26">
        <f>IF($C77="","",$C$82)</f>
        <v/>
      </c>
      <c r="I77" s="24">
        <f>IF($G77="","",IF($G77&gt;=$H77+1,"A SALVO",IF($G77&gt;=$H77,"ATENCIÓN","PELIGRO")))</f>
        <v/>
      </c>
    </row>
    <row r="78" ht="22" customHeight="1">
      <c r="B78" s="22" t="n"/>
      <c r="C78" s="23" t="n"/>
      <c r="D78" s="24">
        <f>IF($B78="","",COUNTIFS($C$5:$C$54,$B78,$D$5:$D$54,"X"))</f>
        <v/>
      </c>
      <c r="E78" s="24">
        <f>IF($B78="","",COUNTIFS($C$5:$C$54,$B78,$E$5:$E$54,"X"))</f>
        <v/>
      </c>
      <c r="F78" s="24">
        <f>IF($B78="","",COUNTIFS($C$5:$C$54,$B78,$F$5:$F$54,"X"))</f>
        <v/>
      </c>
      <c r="G78" s="25">
        <f>IF(OR($C78="",$C78&lt;=0),"",ROUND(MAX(0,$C78-$D78-$F78*$C$83)/$C78*100,1))</f>
        <v/>
      </c>
      <c r="H78" s="26">
        <f>IF($C78="","",$C$82)</f>
        <v/>
      </c>
      <c r="I78" s="24">
        <f>IF($G78="","",IF($G78&gt;=$H78+1,"A SALVO",IF($G78&gt;=$H78,"ATENCIÓN","PELIGRO")))</f>
        <v/>
      </c>
    </row>
    <row r="79" ht="26" customHeight="1">
      <c r="B79" s="27" t="inlineStr">
        <is>
          <t>TOTAL CURSO</t>
        </is>
      </c>
      <c r="C79" s="28">
        <f>SUM(C59:C78)</f>
        <v/>
      </c>
      <c r="D79" s="28">
        <f>SUM(D59:D78)</f>
        <v/>
      </c>
      <c r="E79" s="28">
        <f>SUM(E59:E78)</f>
        <v/>
      </c>
      <c r="F79" s="28">
        <f>SUM(F59:F78)</f>
        <v/>
      </c>
      <c r="G79" s="29">
        <f>IF(OR($C$79="",$C$79&lt;=0),"",ROUND(MAX(0,$C$79-$D$79-$F$79*$C$83)/$C$79*100,1))</f>
        <v/>
      </c>
      <c r="H79" s="30" t="n"/>
      <c r="I79" s="30" t="n"/>
    </row>
    <row r="81" ht="26" customHeight="1">
      <c r="B81" s="20" t="inlineStr">
        <is>
          <t>CONFIGURACIÓN GLOBAL</t>
        </is>
      </c>
    </row>
    <row r="82" ht="30" customHeight="1">
      <c r="B82" s="31" t="inlineStr">
        <is>
          <t>MÍNIMO DE ASISTENCIA PERMITIDO (%)</t>
        </is>
      </c>
      <c r="C82" s="32" t="n">
        <v>80</v>
      </c>
    </row>
    <row r="83" ht="30" customHeight="1">
      <c r="B83" s="31" t="inlineStr">
        <is>
          <t>CADA RETRASO EQUIVALE A (en faltas)</t>
        </is>
      </c>
      <c r="C83" s="33" t="n">
        <v>0.5</v>
      </c>
    </row>
    <row r="84" ht="44" customHeight="1">
      <c r="B84" s="34" t="inlineStr">
        <is>
          <t>Cada retraso equivale a X faltas (por defecto 0,5 = media falta). Modifica este valor según el criterio de tu centro: 0 = no cuenta, 0,5 = media falta, 1 = falta completa.</t>
        </is>
      </c>
    </row>
    <row r="85" ht="44" customHeight="1">
      <c r="B85" s="34" t="inlineStr">
        <is>
          <t>Introduce el porcentaje mínimo de asistencia que exija tu centro. Esta plantilla es orientativa y no sustituye la normativa oficial ni la información de tu profesor o secretaría.</t>
        </is>
      </c>
    </row>
    <row r="86" ht="14" customHeight="1"/>
    <row r="87" ht="22" customHeight="1">
      <c r="B87" s="35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autoFilter ref="B4:G54"/>
  <mergeCells count="7">
    <mergeCell ref="B1:I1"/>
    <mergeCell ref="B87:I87"/>
    <mergeCell ref="B2:I2"/>
    <mergeCell ref="B81:I81"/>
    <mergeCell ref="B85:I85"/>
    <mergeCell ref="B57:I57"/>
    <mergeCell ref="B84:I84"/>
  </mergeCells>
  <conditionalFormatting sqref="G59:G78">
    <cfRule type="expression" priority="1" dxfId="0">
      <formula>AND($G59&lt;&gt;"",$G59&gt;=$H59+1)</formula>
    </cfRule>
    <cfRule type="expression" priority="2" dxfId="1">
      <formula>AND($G59&lt;&gt;"",$G59=$H59)</formula>
    </cfRule>
    <cfRule type="expression" priority="3" dxfId="2">
      <formula>AND($G59&lt;&gt;"",$G59&lt;$H59)</formula>
    </cfRule>
  </conditionalFormatting>
  <conditionalFormatting sqref="D59:D78">
    <cfRule type="dataBar" priority="4">
      <dataBar showValue="1">
        <cfvo type="num" val="0"/>
        <cfvo type="num" val="10"/>
        <color rgb="00C00000"/>
      </dataBar>
    </cfRule>
  </conditionalFormatting>
  <conditionalFormatting sqref="I59:I78">
    <cfRule type="expression" priority="5" dxfId="0">
      <formula>$I59="A SALVO"</formula>
    </cfRule>
    <cfRule type="expression" priority="6" dxfId="1">
      <formula>$I59="ATENCIÓN"</formula>
    </cfRule>
    <cfRule type="expression" priority="7" dxfId="2">
      <formula>$I59="PELIGRO"</formula>
    </cfRule>
  </conditionalFormatting>
  <dataValidations count="2">
    <dataValidation sqref="D5:F54" showDropDown="0" showInputMessage="0" showErrorMessage="1" allowBlank="1" errorTitle="Entrada no válida" error="Solo se permite escribir X, o dejar la celda vacía." promptTitle="Marca" prompt="Escribe X o déjalo vacío." type="list">
      <formula1>"X,"</formula1>
    </dataValidation>
    <dataValidation sqref="C5:C54" showDropDown="0" showInputMessage="0" showErrorMessage="0" allowBlank="1" promptTitle="Asignatura" prompt="Elige tu asignatura de la lista (o escríbela igual)." type="list">
      <formula1>ASISTENCIA!$B$59:$B$78</formula1>
    </dataValidation>
  </dataValidations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I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40" customHeight="1">
      <c r="B1" s="14" t="inlineStr">
        <is>
          <t>CONTROL DE NOTAS 2026/2027</t>
        </is>
      </c>
    </row>
    <row r="2" ht="23" customHeight="1">
      <c r="B2" s="11" t="inlineStr">
        <is>
          <t>Hasta 5 notas por asignatura · pesos en % (suman 100) · la NOTA FINAL se calcula sola</t>
        </is>
      </c>
    </row>
    <row r="4" ht="32" customHeight="1">
      <c r="B4" s="15" t="inlineStr">
        <is>
          <t>ASIGNATURA (elige)</t>
        </is>
      </c>
      <c r="C4" s="15" t="inlineStr">
        <is>
          <t>NOTA 1</t>
        </is>
      </c>
      <c r="D4" s="15" t="inlineStr">
        <is>
          <t>NOTA 2</t>
        </is>
      </c>
      <c r="E4" s="15" t="inlineStr">
        <is>
          <t>NOTA 3</t>
        </is>
      </c>
      <c r="F4" s="15" t="inlineStr">
        <is>
          <t>NOTA 4</t>
        </is>
      </c>
      <c r="G4" s="15" t="inlineStr">
        <is>
          <t>NOTA 5</t>
        </is>
      </c>
      <c r="H4" s="15" t="inlineStr">
        <is>
          <t>MEDIA</t>
        </is>
      </c>
      <c r="I4" s="15" t="inlineStr">
        <is>
          <t>PESO (%)</t>
        </is>
      </c>
    </row>
    <row r="5" ht="24" customHeight="1">
      <c r="B5" s="36" t="inlineStr"/>
      <c r="C5" s="18" t="n"/>
      <c r="D5" s="18" t="n"/>
      <c r="E5" s="18" t="n"/>
      <c r="F5" s="18" t="n"/>
      <c r="G5" s="18" t="n"/>
      <c r="H5" s="37">
        <f>IF(OR($B5="",ISNA(MATCH($B5,ASISTENCIA!$B$59:$B$78,0))),"",ROUND(AVERAGE(C5:G5),2))</f>
        <v/>
      </c>
      <c r="I5" s="38" t="n"/>
    </row>
    <row r="6" ht="24" customHeight="1">
      <c r="B6" s="36" t="inlineStr"/>
      <c r="C6" s="18" t="n"/>
      <c r="D6" s="18" t="n"/>
      <c r="E6" s="18" t="n"/>
      <c r="F6" s="18" t="n"/>
      <c r="G6" s="18" t="n"/>
      <c r="H6" s="37">
        <f>IF(OR($B6="",ISNA(MATCH($B6,ASISTENCIA!$B$59:$B$78,0))),"",ROUND(AVERAGE(C6:G6),2))</f>
        <v/>
      </c>
      <c r="I6" s="38" t="n"/>
    </row>
    <row r="7" ht="24" customHeight="1">
      <c r="B7" s="36" t="inlineStr"/>
      <c r="C7" s="18" t="n"/>
      <c r="D7" s="18" t="n"/>
      <c r="E7" s="18" t="n"/>
      <c r="F7" s="18" t="n"/>
      <c r="G7" s="18" t="n"/>
      <c r="H7" s="37">
        <f>IF(OR($B7="",ISNA(MATCH($B7,ASISTENCIA!$B$59:$B$78,0))),"",ROUND(AVERAGE(C7:G7),2))</f>
        <v/>
      </c>
      <c r="I7" s="38" t="n"/>
    </row>
    <row r="8" ht="24" customHeight="1">
      <c r="B8" s="36" t="inlineStr"/>
      <c r="C8" s="18" t="n"/>
      <c r="D8" s="18" t="n"/>
      <c r="E8" s="18" t="n"/>
      <c r="F8" s="18" t="n"/>
      <c r="G8" s="18" t="n"/>
      <c r="H8" s="37">
        <f>IF(OR($B8="",ISNA(MATCH($B8,ASISTENCIA!$B$59:$B$78,0))),"",ROUND(AVERAGE(C8:G8),2))</f>
        <v/>
      </c>
      <c r="I8" s="38" t="n"/>
    </row>
    <row r="9" ht="24" customHeight="1">
      <c r="B9" s="36" t="inlineStr"/>
      <c r="C9" s="18" t="n"/>
      <c r="D9" s="18" t="n"/>
      <c r="E9" s="18" t="n"/>
      <c r="F9" s="18" t="n"/>
      <c r="G9" s="18" t="n"/>
      <c r="H9" s="37">
        <f>IF(OR($B9="",ISNA(MATCH($B9,ASISTENCIA!$B$59:$B$78,0))),"",ROUND(AVERAGE(C9:G9),2))</f>
        <v/>
      </c>
      <c r="I9" s="38" t="n"/>
    </row>
    <row r="10" ht="24" customHeight="1">
      <c r="B10" s="36" t="inlineStr"/>
      <c r="C10" s="18" t="n"/>
      <c r="D10" s="18" t="n"/>
      <c r="E10" s="18" t="n"/>
      <c r="F10" s="18" t="n"/>
      <c r="G10" s="18" t="n"/>
      <c r="H10" s="37">
        <f>IF(OR($B10="",ISNA(MATCH($B10,ASISTENCIA!$B$59:$B$78,0))),"",ROUND(AVERAGE(C10:G10),2))</f>
        <v/>
      </c>
      <c r="I10" s="38" t="n"/>
    </row>
    <row r="11" ht="24" customHeight="1">
      <c r="B11" s="36" t="inlineStr"/>
      <c r="C11" s="18" t="n"/>
      <c r="D11" s="18" t="n"/>
      <c r="E11" s="18" t="n"/>
      <c r="F11" s="18" t="n"/>
      <c r="G11" s="18" t="n"/>
      <c r="H11" s="37">
        <f>IF(OR($B11="",ISNA(MATCH($B11,ASISTENCIA!$B$59:$B$78,0))),"",ROUND(AVERAGE(C11:G11),2))</f>
        <v/>
      </c>
      <c r="I11" s="38" t="n"/>
    </row>
    <row r="12" ht="24" customHeight="1">
      <c r="B12" s="36" t="inlineStr"/>
      <c r="C12" s="18" t="n"/>
      <c r="D12" s="18" t="n"/>
      <c r="E12" s="18" t="n"/>
      <c r="F12" s="18" t="n"/>
      <c r="G12" s="18" t="n"/>
      <c r="H12" s="37">
        <f>IF(OR($B12="",ISNA(MATCH($B12,ASISTENCIA!$B$59:$B$78,0))),"",ROUND(AVERAGE(C12:G12),2))</f>
        <v/>
      </c>
      <c r="I12" s="38" t="n"/>
    </row>
    <row r="13" ht="24" customHeight="1">
      <c r="B13" s="36" t="inlineStr"/>
      <c r="C13" s="18" t="n"/>
      <c r="D13" s="18" t="n"/>
      <c r="E13" s="18" t="n"/>
      <c r="F13" s="18" t="n"/>
      <c r="G13" s="18" t="n"/>
      <c r="H13" s="37">
        <f>IF(OR($B13="",ISNA(MATCH($B13,ASISTENCIA!$B$59:$B$78,0))),"",ROUND(AVERAGE(C13:G13),2))</f>
        <v/>
      </c>
      <c r="I13" s="38" t="n"/>
    </row>
    <row r="14" ht="24" customHeight="1">
      <c r="B14" s="36" t="inlineStr"/>
      <c r="C14" s="18" t="n"/>
      <c r="D14" s="18" t="n"/>
      <c r="E14" s="18" t="n"/>
      <c r="F14" s="18" t="n"/>
      <c r="G14" s="18" t="n"/>
      <c r="H14" s="37">
        <f>IF(OR($B14="",ISNA(MATCH($B14,ASISTENCIA!$B$59:$B$78,0))),"",ROUND(AVERAGE(C14:G14),2))</f>
        <v/>
      </c>
      <c r="I14" s="38" t="n"/>
    </row>
    <row r="15" ht="24" customHeight="1">
      <c r="B15" s="36" t="inlineStr"/>
      <c r="C15" s="18" t="n"/>
      <c r="D15" s="18" t="n"/>
      <c r="E15" s="18" t="n"/>
      <c r="F15" s="18" t="n"/>
      <c r="G15" s="18" t="n"/>
      <c r="H15" s="37">
        <f>IF(OR($B15="",ISNA(MATCH($B15,ASISTENCIA!$B$59:$B$78,0))),"",ROUND(AVERAGE(C15:G15),2))</f>
        <v/>
      </c>
      <c r="I15" s="38" t="n"/>
    </row>
    <row r="16" ht="24" customHeight="1">
      <c r="B16" s="36" t="inlineStr"/>
      <c r="C16" s="18" t="n"/>
      <c r="D16" s="18" t="n"/>
      <c r="E16" s="18" t="n"/>
      <c r="F16" s="18" t="n"/>
      <c r="G16" s="18" t="n"/>
      <c r="H16" s="37">
        <f>IF(OR($B16="",ISNA(MATCH($B16,ASISTENCIA!$B$59:$B$78,0))),"",ROUND(AVERAGE(C16:G16),2))</f>
        <v/>
      </c>
      <c r="I16" s="38" t="n"/>
    </row>
    <row r="17" ht="24" customHeight="1">
      <c r="B17" s="36" t="inlineStr"/>
      <c r="C17" s="18" t="n"/>
      <c r="D17" s="18" t="n"/>
      <c r="E17" s="18" t="n"/>
      <c r="F17" s="18" t="n"/>
      <c r="G17" s="18" t="n"/>
      <c r="H17" s="37">
        <f>IF(OR($B17="",ISNA(MATCH($B17,ASISTENCIA!$B$59:$B$78,0))),"",ROUND(AVERAGE(C17:G17),2))</f>
        <v/>
      </c>
      <c r="I17" s="38" t="n"/>
    </row>
    <row r="18" ht="24" customHeight="1">
      <c r="B18" s="36" t="inlineStr"/>
      <c r="C18" s="18" t="n"/>
      <c r="D18" s="18" t="n"/>
      <c r="E18" s="18" t="n"/>
      <c r="F18" s="18" t="n"/>
      <c r="G18" s="18" t="n"/>
      <c r="H18" s="37">
        <f>IF(OR($B18="",ISNA(MATCH($B18,ASISTENCIA!$B$59:$B$78,0))),"",ROUND(AVERAGE(C18:G18),2))</f>
        <v/>
      </c>
      <c r="I18" s="38" t="n"/>
    </row>
    <row r="19" ht="24" customHeight="1">
      <c r="B19" s="36" t="inlineStr"/>
      <c r="C19" s="18" t="n"/>
      <c r="D19" s="18" t="n"/>
      <c r="E19" s="18" t="n"/>
      <c r="F19" s="18" t="n"/>
      <c r="G19" s="18" t="n"/>
      <c r="H19" s="37">
        <f>IF(OR($B19="",ISNA(MATCH($B19,ASISTENCIA!$B$59:$B$78,0))),"",ROUND(AVERAGE(C19:G19),2))</f>
        <v/>
      </c>
      <c r="I19" s="38" t="n"/>
    </row>
    <row r="20" ht="24" customHeight="1">
      <c r="B20" s="36" t="inlineStr"/>
      <c r="C20" s="18" t="n"/>
      <c r="D20" s="18" t="n"/>
      <c r="E20" s="18" t="n"/>
      <c r="F20" s="18" t="n"/>
      <c r="G20" s="18" t="n"/>
      <c r="H20" s="37">
        <f>IF(OR($B20="",ISNA(MATCH($B20,ASISTENCIA!$B$59:$B$78,0))),"",ROUND(AVERAGE(C20:G20),2))</f>
        <v/>
      </c>
      <c r="I20" s="38" t="n"/>
    </row>
    <row r="21" ht="24" customHeight="1">
      <c r="B21" s="36" t="inlineStr"/>
      <c r="C21" s="18" t="n"/>
      <c r="D21" s="18" t="n"/>
      <c r="E21" s="18" t="n"/>
      <c r="F21" s="18" t="n"/>
      <c r="G21" s="18" t="n"/>
      <c r="H21" s="37">
        <f>IF(OR($B21="",ISNA(MATCH($B21,ASISTENCIA!$B$59:$B$78,0))),"",ROUND(AVERAGE(C21:G21),2))</f>
        <v/>
      </c>
      <c r="I21" s="38" t="n"/>
    </row>
    <row r="22" ht="24" customHeight="1">
      <c r="B22" s="36" t="inlineStr"/>
      <c r="C22" s="18" t="n"/>
      <c r="D22" s="18" t="n"/>
      <c r="E22" s="18" t="n"/>
      <c r="F22" s="18" t="n"/>
      <c r="G22" s="18" t="n"/>
      <c r="H22" s="37">
        <f>IF(OR($B22="",ISNA(MATCH($B22,ASISTENCIA!$B$59:$B$78,0))),"",ROUND(AVERAGE(C22:G22),2))</f>
        <v/>
      </c>
      <c r="I22" s="38" t="n"/>
    </row>
    <row r="23" ht="24" customHeight="1">
      <c r="B23" s="36" t="inlineStr"/>
      <c r="C23" s="18" t="n"/>
      <c r="D23" s="18" t="n"/>
      <c r="E23" s="18" t="n"/>
      <c r="F23" s="18" t="n"/>
      <c r="G23" s="18" t="n"/>
      <c r="H23" s="37">
        <f>IF(OR($B23="",ISNA(MATCH($B23,ASISTENCIA!$B$59:$B$78,0))),"",ROUND(AVERAGE(C23:G23),2))</f>
        <v/>
      </c>
      <c r="I23" s="38" t="n"/>
    </row>
    <row r="24" ht="24" customHeight="1">
      <c r="B24" s="36" t="inlineStr"/>
      <c r="C24" s="18" t="n"/>
      <c r="D24" s="18" t="n"/>
      <c r="E24" s="18" t="n"/>
      <c r="F24" s="18" t="n"/>
      <c r="G24" s="18" t="n"/>
      <c r="H24" s="37">
        <f>IF(OR($B24="",ISNA(MATCH($B24,ASISTENCIA!$B$59:$B$78,0))),"",ROUND(AVERAGE(C24:G24),2))</f>
        <v/>
      </c>
      <c r="I24" s="38" t="n"/>
    </row>
    <row r="25" ht="16" customHeight="1"/>
    <row r="26" ht="26" customHeight="1">
      <c r="B26" s="39" t="inlineStr">
        <is>
          <t>RESUMEN DE NOTAS</t>
        </is>
      </c>
    </row>
    <row r="27" ht="32" customHeight="1">
      <c r="B27" s="31" t="inlineStr">
        <is>
          <t>TOTAL PESO (%)</t>
        </is>
      </c>
      <c r="C27" s="40">
        <f>SUM(I5:I24)</f>
        <v/>
      </c>
    </row>
    <row r="28" ht="34" customHeight="1">
      <c r="B28" s="31" t="inlineStr">
        <is>
          <t>NOTA FINAL PONDERADA</t>
        </is>
      </c>
      <c r="C28" s="41">
        <f>IF(C27=0,"",ROUND(SUMPRODUCT(N(H5:H24),I5:I24)/C27,2))</f>
        <v/>
      </c>
    </row>
    <row r="29" ht="14" customHeight="1"/>
    <row r="30" ht="30" customHeight="1">
      <c r="B30" s="34" t="inlineStr">
        <is>
          <t>NOTA FINAL PONDERADA = tus notas con sus pesos. La MEDIA SIMPLE DEL CURSO cuenta todas las asignaturas por igual; la ponderada utiliza los pesos que has introducido. Son dos medias distintas. Solo cuentan las asignaturas con nota.</t>
        </is>
      </c>
    </row>
    <row r="31" ht="14" customHeight="1"/>
    <row r="32" ht="26" customHeight="1">
      <c r="B32" s="39" t="inlineStr">
        <is>
          <t>MINI-CALCULADORA: NOTA QUE NECESITAS EN EL EXAMEN</t>
        </is>
      </c>
    </row>
    <row r="33" ht="14" customHeight="1"/>
    <row r="34" ht="30" customHeight="1">
      <c r="B34" s="42" t="inlineStr">
        <is>
          <t>Nota que quieres conseguir</t>
        </is>
      </c>
      <c r="C34" s="43" t="inlineStr"/>
    </row>
    <row r="35" ht="30" customHeight="1">
      <c r="B35" s="42" t="inlineStr">
        <is>
          <t>Tu nota actual (media)</t>
        </is>
      </c>
      <c r="C35" s="43" t="inlineStr"/>
    </row>
    <row r="36" ht="30" customHeight="1">
      <c r="B36" s="42" t="inlineStr">
        <is>
          <t>Peso del examen (%)</t>
        </is>
      </c>
      <c r="C36" s="43" t="inlineStr"/>
    </row>
    <row r="37" ht="30" customHeight="1">
      <c r="B37" s="42" t="inlineStr">
        <is>
          <t>Nota que te hace falta en el examen</t>
        </is>
      </c>
      <c r="C37" s="44">
        <f>IF(OR($C$34="",$C$36="",$C$36=0),"",IFERROR(ROUND(($C$34-($C$35*(1-$C$36/100)))/($C$36/100),2),""))</f>
        <v/>
      </c>
    </row>
    <row r="38" ht="14" customHeight="1"/>
    <row r="39" ht="44" customHeight="1">
      <c r="B39" s="34" t="inlineStr">
        <is>
          <t>Mini-calculadora orientativa: si quieres sacar 7, llevando 6,5 de media y el examen vale el 30 %, necesitas sacar un 8,17 en el examen. Ajusta los valores a tu caso.</t>
        </is>
      </c>
    </row>
    <row r="40" ht="14" customHeight="1"/>
    <row r="41" ht="22" customHeight="1">
      <c r="B41" s="35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mergeCells count="7">
    <mergeCell ref="B30:I30"/>
    <mergeCell ref="B39:I39"/>
    <mergeCell ref="B2:I2"/>
    <mergeCell ref="B41:I41"/>
    <mergeCell ref="B1:I1"/>
    <mergeCell ref="B32:I32"/>
    <mergeCell ref="B26:I26"/>
  </mergeCells>
  <conditionalFormatting sqref="H5:H24">
    <cfRule type="expression" priority="1" dxfId="3">
      <formula>AND($H5&lt;&gt;"",$H5&gt;=5)</formula>
    </cfRule>
    <cfRule type="expression" priority="2" dxfId="4">
      <formula>AND($H5&lt;&gt;"",$H5&lt;5)</formula>
    </cfRule>
  </conditionalFormatting>
  <conditionalFormatting sqref="C27">
    <cfRule type="expression" priority="3" dxfId="0">
      <formula>C27=100</formula>
    </cfRule>
    <cfRule type="expression" priority="4" dxfId="2">
      <formula>AND(C27&lt;&gt;100,C27&gt;0)</formula>
    </cfRule>
  </conditionalFormatting>
  <conditionalFormatting sqref="C28">
    <cfRule type="expression" priority="5" dxfId="5">
      <formula>AND($C$28&lt;&gt;"",$C$28&gt;=5)</formula>
    </cfRule>
    <cfRule type="expression" priority="6" dxfId="6">
      <formula>AND($C$28&lt;&gt;"",$C$28&lt;5)</formula>
    </cfRule>
  </conditionalFormatting>
  <conditionalFormatting sqref="C37">
    <cfRule type="expression" priority="7" dxfId="7">
      <formula>AND($C37&lt;&gt;"",$C37&lt;=10)</formula>
    </cfRule>
    <cfRule type="expression" priority="8" dxfId="6">
      <formula>AND($C37&lt;&gt;"",$C37&gt;10)</formula>
    </cfRule>
  </conditionalFormatting>
  <dataValidations count="2">
    <dataValidation sqref="I5:I24" showDropDown="0" showInputMessage="0" showErrorMessage="1" allowBlank="1" error="El peso debe ser un número entre 1 y 100." type="decimal" operator="between">
      <formula1>1</formula1>
      <formula2>100</formula2>
    </dataValidation>
    <dataValidation sqref="B5:B24" showDropDown="0" showInputMessage="0" showErrorMessage="0" allowBlank="1" promptTitle="Asignatura" prompt="Elige la asignatura (sale de tu lista en ASISTENCIA)." type="list">
      <formula1>ASISTENCIA!$B$59:$B$78</formula1>
    </dataValidation>
  </dataValidations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3" customWidth="1" min="5" max="5"/>
    <col width="11" customWidth="1" min="6" max="6"/>
    <col width="15" customWidth="1" min="7" max="7"/>
    <col width="10" customWidth="1" min="8" max="8"/>
  </cols>
  <sheetData>
    <row r="1" ht="40" customHeight="1">
      <c r="B1" s="10" t="inlineStr">
        <is>
          <t>MI CURSO 2026/27</t>
        </is>
      </c>
    </row>
    <row r="2" ht="24" customHeight="1">
      <c r="B2" s="11" t="inlineStr">
        <is>
          <t>Tu cuadro de mandos · Todo se actualiza solo desde ASISTENCIA y NOTAS</t>
        </is>
      </c>
    </row>
    <row r="3" ht="16" customHeight="1"/>
    <row r="4" ht="22" customHeight="1">
      <c r="B4" s="45" t="inlineStr">
        <is>
          <t>MEDIA SIMPLE DEL CURSO</t>
        </is>
      </c>
      <c r="D4" s="46" t="inlineStr">
        <is>
          <t>ASISTENCIA GLOBAL</t>
        </is>
      </c>
      <c r="F4" s="47" t="inlineStr">
        <is>
          <t>TOTAL FALTAS</t>
        </is>
      </c>
      <c r="H4" s="48" t="inlineStr">
        <is>
          <t>MÍNIMO PERMITIDO</t>
        </is>
      </c>
    </row>
    <row r="5" ht="38" customHeight="1">
      <c r="B5" s="49">
        <f>IFERROR(ROUND(AVERAGE(NOTAS!$H$5:$H$24),2),"")</f>
        <v/>
      </c>
      <c r="D5" s="50">
        <f>ASISTENCIA!G79</f>
        <v/>
      </c>
      <c r="F5" s="51">
        <f>ASISTENCIA!D79</f>
        <v/>
      </c>
      <c r="H5" s="52">
        <f>ASISTENCIA!C82</f>
        <v/>
      </c>
    </row>
    <row r="6" ht="16" customHeight="1"/>
    <row r="7" ht="26" customHeight="1">
      <c r="B7" s="53" t="inlineStr">
        <is>
          <t>TU OBJETIVO DE NOTA</t>
        </is>
      </c>
    </row>
    <row r="8" ht="36" customHeight="1">
      <c r="B8" s="54" t="inlineStr">
        <is>
          <t>Nota que quieres:</t>
        </is>
      </c>
      <c r="D8" s="55" t="n"/>
      <c r="F8" s="56" t="inlineStr">
        <is>
          <t>Se compara con tu MEDIA SIMPLE DEL CURSO (casilla de arriba).</t>
        </is>
      </c>
    </row>
    <row r="9" ht="46" customHeight="1">
      <c r="B9" s="57">
        <f>IF(OR($D$8="",$B$5=""),"Fija tu nota objetivo arriba (casilla ámbar). Se compara con tu MEDIA SIMPLE DEL CURSO y te dice cuánto te falta.",IF($B$5&gt;=$D$8,"OBJETIVO CONSEGUIDO · tu media ("&amp;TEXT($B$5,"0.00")&amp;") ya llega a "&amp;TEXT($D$8,"0.00")&amp;".","Tu media simple es "&amp;TEXT($B$5,"0.00")&amp;". Te faltan "&amp;TEXT(ROUND($D$8-$B$5,2),"0.00")&amp;" puntos para llegar a "&amp;TEXT($D$8,"0.00")&amp;". Avanza tu media con mejores notas en NOTAS."))</f>
        <v/>
      </c>
    </row>
    <row r="10" ht="26" customHeight="1">
      <c r="B10" s="53" t="inlineStr">
        <is>
          <t>TU ASISTENCIA vs EL MÍNIMO PERMITIDO</t>
        </is>
      </c>
    </row>
    <row r="11" ht="30" customHeight="1">
      <c r="B11" s="58" t="inlineStr">
        <is>
          <t>Tu asistencia:</t>
        </is>
      </c>
      <c r="D11" s="59">
        <f>IF(ASISTENCIA!$G$79="","",ASISTENCIA!$G$79)</f>
        <v/>
      </c>
      <c r="F11" s="58" t="inlineStr">
        <is>
          <t>Mínimo permitido:</t>
        </is>
      </c>
      <c r="H11" s="60">
        <f>IF(ASISTENCIA!$C$82="","",ASISTENCIA!$C$82)</f>
        <v/>
      </c>
    </row>
    <row r="12" ht="40" customHeight="1">
      <c r="B12" s="61">
        <f>IF(OR($D$11="",$H$11=""),"",IF($D$11&gt;=$H$11+1,"A SALVO · tu asistencia va "&amp;TEXT(ROUND($D$11-$H$11,1),"0.0")&amp;" p. por encima del mínimo permitido",IF($D$11&gt;=$H$11,"ATENCIÓN · vas justo en el mínimo permitido","PELIGRO · te faltan "&amp;TEXT(ROUND($H$11-$D$11,1),"0.0")&amp;" p. para llegar al mínimo permitido")))</f>
        <v/>
      </c>
    </row>
    <row r="14" ht="32" customHeight="1">
      <c r="B14" s="62" t="inlineStr">
        <is>
          <t>ASIGNATURA</t>
        </is>
      </c>
      <c r="C14" s="62" t="inlineStr">
        <is>
          <t>CLASES (TOTAL)</t>
        </is>
      </c>
      <c r="D14" s="62" t="inlineStr">
        <is>
          <t>FALTAS</t>
        </is>
      </c>
      <c r="E14" s="62" t="inlineStr">
        <is>
          <t>MEDIA</t>
        </is>
      </c>
      <c r="F14" s="62" t="inlineStr">
        <is>
          <t>% ASIST.</t>
        </is>
      </c>
      <c r="G14" s="62" t="inlineStr">
        <is>
          <t>ESTADO</t>
        </is>
      </c>
    </row>
    <row r="15" ht="20" customHeight="1">
      <c r="B15" s="63">
        <f>IF(ASISTENCIA!$B$59="","",ASISTENCIA!$B$59)</f>
        <v/>
      </c>
      <c r="C15" s="64">
        <f>IF($B15="","",IFERROR(INDEX(ASISTENCIA!$C$59:$C$78,MATCH($B15,ASISTENCIA!$B$59:$B$78,0)),""))</f>
        <v/>
      </c>
      <c r="D15" s="24">
        <f>IF($B15="","",IFERROR(INDEX(ASISTENCIA!$D$59:$D$78,MATCH($B15,ASISTENCIA!$B$59:$B$78,0)),""))</f>
        <v/>
      </c>
      <c r="E15" s="65">
        <f>IF($B15="","",IFERROR(INDEX(NOTAS!$H$5:$H$24,MATCH($B15,NOTAS!$B$5:$B$24,0)),""))</f>
        <v/>
      </c>
      <c r="F15" s="25">
        <f>IF($B15="","",IFERROR(INDEX(ASISTENCIA!$G$59:$G$78,MATCH($B15,ASISTENCIA!$B$59:$B$78,0)),""))</f>
        <v/>
      </c>
      <c r="G15" s="24">
        <f>IF($B15="","",IFERROR(INDEX(ASISTENCIA!$I$59:$I$78,MATCH($B15,ASISTENCIA!$B$59:$B$78,0)),""))</f>
        <v/>
      </c>
    </row>
    <row r="16" ht="20" customHeight="1">
      <c r="B16" s="63">
        <f>IF(ASISTENCIA!$B$60="","",ASISTENCIA!$B$60)</f>
        <v/>
      </c>
      <c r="C16" s="64">
        <f>IF($B16="","",IFERROR(INDEX(ASISTENCIA!$C$59:$C$78,MATCH($B16,ASISTENCIA!$B$59:$B$78,0)),""))</f>
        <v/>
      </c>
      <c r="D16" s="24">
        <f>IF($B16="","",IFERROR(INDEX(ASISTENCIA!$D$59:$D$78,MATCH($B16,ASISTENCIA!$B$59:$B$78,0)),""))</f>
        <v/>
      </c>
      <c r="E16" s="65">
        <f>IF($B16="","",IFERROR(INDEX(NOTAS!$H$5:$H$24,MATCH($B16,NOTAS!$B$5:$B$24,0)),""))</f>
        <v/>
      </c>
      <c r="F16" s="25">
        <f>IF($B16="","",IFERROR(INDEX(ASISTENCIA!$G$59:$G$78,MATCH($B16,ASISTENCIA!$B$59:$B$78,0)),""))</f>
        <v/>
      </c>
      <c r="G16" s="24">
        <f>IF($B16="","",IFERROR(INDEX(ASISTENCIA!$I$59:$I$78,MATCH($B16,ASISTENCIA!$B$59:$B$78,0)),""))</f>
        <v/>
      </c>
    </row>
    <row r="17" ht="20" customHeight="1">
      <c r="B17" s="63">
        <f>IF(ASISTENCIA!$B$61="","",ASISTENCIA!$B$61)</f>
        <v/>
      </c>
      <c r="C17" s="64">
        <f>IF($B17="","",IFERROR(INDEX(ASISTENCIA!$C$59:$C$78,MATCH($B17,ASISTENCIA!$B$59:$B$78,0)),""))</f>
        <v/>
      </c>
      <c r="D17" s="24">
        <f>IF($B17="","",IFERROR(INDEX(ASISTENCIA!$D$59:$D$78,MATCH($B17,ASISTENCIA!$B$59:$B$78,0)),""))</f>
        <v/>
      </c>
      <c r="E17" s="65">
        <f>IF($B17="","",IFERROR(INDEX(NOTAS!$H$5:$H$24,MATCH($B17,NOTAS!$B$5:$B$24,0)),""))</f>
        <v/>
      </c>
      <c r="F17" s="25">
        <f>IF($B17="","",IFERROR(INDEX(ASISTENCIA!$G$59:$G$78,MATCH($B17,ASISTENCIA!$B$59:$B$78,0)),""))</f>
        <v/>
      </c>
      <c r="G17" s="24">
        <f>IF($B17="","",IFERROR(INDEX(ASISTENCIA!$I$59:$I$78,MATCH($B17,ASISTENCIA!$B$59:$B$78,0)),""))</f>
        <v/>
      </c>
    </row>
    <row r="18" ht="20" customHeight="1">
      <c r="B18" s="63">
        <f>IF(ASISTENCIA!$B$62="","",ASISTENCIA!$B$62)</f>
        <v/>
      </c>
      <c r="C18" s="64">
        <f>IF($B18="","",IFERROR(INDEX(ASISTENCIA!$C$59:$C$78,MATCH($B18,ASISTENCIA!$B$59:$B$78,0)),""))</f>
        <v/>
      </c>
      <c r="D18" s="24">
        <f>IF($B18="","",IFERROR(INDEX(ASISTENCIA!$D$59:$D$78,MATCH($B18,ASISTENCIA!$B$59:$B$78,0)),""))</f>
        <v/>
      </c>
      <c r="E18" s="65">
        <f>IF($B18="","",IFERROR(INDEX(NOTAS!$H$5:$H$24,MATCH($B18,NOTAS!$B$5:$B$24,0)),""))</f>
        <v/>
      </c>
      <c r="F18" s="25">
        <f>IF($B18="","",IFERROR(INDEX(ASISTENCIA!$G$59:$G$78,MATCH($B18,ASISTENCIA!$B$59:$B$78,0)),""))</f>
        <v/>
      </c>
      <c r="G18" s="24">
        <f>IF($B18="","",IFERROR(INDEX(ASISTENCIA!$I$59:$I$78,MATCH($B18,ASISTENCIA!$B$59:$B$78,0)),""))</f>
        <v/>
      </c>
    </row>
    <row r="19" ht="20" customHeight="1">
      <c r="B19" s="63">
        <f>IF(ASISTENCIA!$B$63="","",ASISTENCIA!$B$63)</f>
        <v/>
      </c>
      <c r="C19" s="64">
        <f>IF($B19="","",IFERROR(INDEX(ASISTENCIA!$C$59:$C$78,MATCH($B19,ASISTENCIA!$B$59:$B$78,0)),""))</f>
        <v/>
      </c>
      <c r="D19" s="24">
        <f>IF($B19="","",IFERROR(INDEX(ASISTENCIA!$D$59:$D$78,MATCH($B19,ASISTENCIA!$B$59:$B$78,0)),""))</f>
        <v/>
      </c>
      <c r="E19" s="65">
        <f>IF($B19="","",IFERROR(INDEX(NOTAS!$H$5:$H$24,MATCH($B19,NOTAS!$B$5:$B$24,0)),""))</f>
        <v/>
      </c>
      <c r="F19" s="25">
        <f>IF($B19="","",IFERROR(INDEX(ASISTENCIA!$G$59:$G$78,MATCH($B19,ASISTENCIA!$B$59:$B$78,0)),""))</f>
        <v/>
      </c>
      <c r="G19" s="24">
        <f>IF($B19="","",IFERROR(INDEX(ASISTENCIA!$I$59:$I$78,MATCH($B19,ASISTENCIA!$B$59:$B$78,0)),""))</f>
        <v/>
      </c>
    </row>
    <row r="20" ht="20" customHeight="1">
      <c r="B20" s="63">
        <f>IF(ASISTENCIA!$B$64="","",ASISTENCIA!$B$64)</f>
        <v/>
      </c>
      <c r="C20" s="64">
        <f>IF($B20="","",IFERROR(INDEX(ASISTENCIA!$C$59:$C$78,MATCH($B20,ASISTENCIA!$B$59:$B$78,0)),""))</f>
        <v/>
      </c>
      <c r="D20" s="24">
        <f>IF($B20="","",IFERROR(INDEX(ASISTENCIA!$D$59:$D$78,MATCH($B20,ASISTENCIA!$B$59:$B$78,0)),""))</f>
        <v/>
      </c>
      <c r="E20" s="65">
        <f>IF($B20="","",IFERROR(INDEX(NOTAS!$H$5:$H$24,MATCH($B20,NOTAS!$B$5:$B$24,0)),""))</f>
        <v/>
      </c>
      <c r="F20" s="25">
        <f>IF($B20="","",IFERROR(INDEX(ASISTENCIA!$G$59:$G$78,MATCH($B20,ASISTENCIA!$B$59:$B$78,0)),""))</f>
        <v/>
      </c>
      <c r="G20" s="24">
        <f>IF($B20="","",IFERROR(INDEX(ASISTENCIA!$I$59:$I$78,MATCH($B20,ASISTENCIA!$B$59:$B$78,0)),""))</f>
        <v/>
      </c>
    </row>
    <row r="21" ht="20" customHeight="1">
      <c r="B21" s="63">
        <f>IF(ASISTENCIA!$B$65="","",ASISTENCIA!$B$65)</f>
        <v/>
      </c>
      <c r="C21" s="64">
        <f>IF($B21="","",IFERROR(INDEX(ASISTENCIA!$C$59:$C$78,MATCH($B21,ASISTENCIA!$B$59:$B$78,0)),""))</f>
        <v/>
      </c>
      <c r="D21" s="24">
        <f>IF($B21="","",IFERROR(INDEX(ASISTENCIA!$D$59:$D$78,MATCH($B21,ASISTENCIA!$B$59:$B$78,0)),""))</f>
        <v/>
      </c>
      <c r="E21" s="65">
        <f>IF($B21="","",IFERROR(INDEX(NOTAS!$H$5:$H$24,MATCH($B21,NOTAS!$B$5:$B$24,0)),""))</f>
        <v/>
      </c>
      <c r="F21" s="25">
        <f>IF($B21="","",IFERROR(INDEX(ASISTENCIA!$G$59:$G$78,MATCH($B21,ASISTENCIA!$B$59:$B$78,0)),""))</f>
        <v/>
      </c>
      <c r="G21" s="24">
        <f>IF($B21="","",IFERROR(INDEX(ASISTENCIA!$I$59:$I$78,MATCH($B21,ASISTENCIA!$B$59:$B$78,0)),""))</f>
        <v/>
      </c>
    </row>
    <row r="22" ht="20" customHeight="1">
      <c r="B22" s="63">
        <f>IF(ASISTENCIA!$B$66="","",ASISTENCIA!$B$66)</f>
        <v/>
      </c>
      <c r="C22" s="64">
        <f>IF($B22="","",IFERROR(INDEX(ASISTENCIA!$C$59:$C$78,MATCH($B22,ASISTENCIA!$B$59:$B$78,0)),""))</f>
        <v/>
      </c>
      <c r="D22" s="24">
        <f>IF($B22="","",IFERROR(INDEX(ASISTENCIA!$D$59:$D$78,MATCH($B22,ASISTENCIA!$B$59:$B$78,0)),""))</f>
        <v/>
      </c>
      <c r="E22" s="65">
        <f>IF($B22="","",IFERROR(INDEX(NOTAS!$H$5:$H$24,MATCH($B22,NOTAS!$B$5:$B$24,0)),""))</f>
        <v/>
      </c>
      <c r="F22" s="25">
        <f>IF($B22="","",IFERROR(INDEX(ASISTENCIA!$G$59:$G$78,MATCH($B22,ASISTENCIA!$B$59:$B$78,0)),""))</f>
        <v/>
      </c>
      <c r="G22" s="24">
        <f>IF($B22="","",IFERROR(INDEX(ASISTENCIA!$I$59:$I$78,MATCH($B22,ASISTENCIA!$B$59:$B$78,0)),""))</f>
        <v/>
      </c>
    </row>
    <row r="23" ht="20" customHeight="1">
      <c r="B23" s="63">
        <f>IF(ASISTENCIA!$B$67="","",ASISTENCIA!$B$67)</f>
        <v/>
      </c>
      <c r="C23" s="64">
        <f>IF($B23="","",IFERROR(INDEX(ASISTENCIA!$C$59:$C$78,MATCH($B23,ASISTENCIA!$B$59:$B$78,0)),""))</f>
        <v/>
      </c>
      <c r="D23" s="24">
        <f>IF($B23="","",IFERROR(INDEX(ASISTENCIA!$D$59:$D$78,MATCH($B23,ASISTENCIA!$B$59:$B$78,0)),""))</f>
        <v/>
      </c>
      <c r="E23" s="65">
        <f>IF($B23="","",IFERROR(INDEX(NOTAS!$H$5:$H$24,MATCH($B23,NOTAS!$B$5:$B$24,0)),""))</f>
        <v/>
      </c>
      <c r="F23" s="25">
        <f>IF($B23="","",IFERROR(INDEX(ASISTENCIA!$G$59:$G$78,MATCH($B23,ASISTENCIA!$B$59:$B$78,0)),""))</f>
        <v/>
      </c>
      <c r="G23" s="24">
        <f>IF($B23="","",IFERROR(INDEX(ASISTENCIA!$I$59:$I$78,MATCH($B23,ASISTENCIA!$B$59:$B$78,0)),""))</f>
        <v/>
      </c>
    </row>
    <row r="24" ht="20" customHeight="1">
      <c r="B24" s="63">
        <f>IF(ASISTENCIA!$B$68="","",ASISTENCIA!$B$68)</f>
        <v/>
      </c>
      <c r="C24" s="64">
        <f>IF($B24="","",IFERROR(INDEX(ASISTENCIA!$C$59:$C$78,MATCH($B24,ASISTENCIA!$B$59:$B$78,0)),""))</f>
        <v/>
      </c>
      <c r="D24" s="24">
        <f>IF($B24="","",IFERROR(INDEX(ASISTENCIA!$D$59:$D$78,MATCH($B24,ASISTENCIA!$B$59:$B$78,0)),""))</f>
        <v/>
      </c>
      <c r="E24" s="65">
        <f>IF($B24="","",IFERROR(INDEX(NOTAS!$H$5:$H$24,MATCH($B24,NOTAS!$B$5:$B$24,0)),""))</f>
        <v/>
      </c>
      <c r="F24" s="25">
        <f>IF($B24="","",IFERROR(INDEX(ASISTENCIA!$G$59:$G$78,MATCH($B24,ASISTENCIA!$B$59:$B$78,0)),""))</f>
        <v/>
      </c>
      <c r="G24" s="24">
        <f>IF($B24="","",IFERROR(INDEX(ASISTENCIA!$I$59:$I$78,MATCH($B24,ASISTENCIA!$B$59:$B$78,0)),""))</f>
        <v/>
      </c>
    </row>
    <row r="25" ht="20" customHeight="1">
      <c r="B25" s="63">
        <f>IF(ASISTENCIA!$B$69="","",ASISTENCIA!$B$69)</f>
        <v/>
      </c>
      <c r="C25" s="64">
        <f>IF($B25="","",IFERROR(INDEX(ASISTENCIA!$C$59:$C$78,MATCH($B25,ASISTENCIA!$B$59:$B$78,0)),""))</f>
        <v/>
      </c>
      <c r="D25" s="24">
        <f>IF($B25="","",IFERROR(INDEX(ASISTENCIA!$D$59:$D$78,MATCH($B25,ASISTENCIA!$B$59:$B$78,0)),""))</f>
        <v/>
      </c>
      <c r="E25" s="65">
        <f>IF($B25="","",IFERROR(INDEX(NOTAS!$H$5:$H$24,MATCH($B25,NOTAS!$B$5:$B$24,0)),""))</f>
        <v/>
      </c>
      <c r="F25" s="25">
        <f>IF($B25="","",IFERROR(INDEX(ASISTENCIA!$G$59:$G$78,MATCH($B25,ASISTENCIA!$B$59:$B$78,0)),""))</f>
        <v/>
      </c>
      <c r="G25" s="24">
        <f>IF($B25="","",IFERROR(INDEX(ASISTENCIA!$I$59:$I$78,MATCH($B25,ASISTENCIA!$B$59:$B$78,0)),""))</f>
        <v/>
      </c>
    </row>
    <row r="26" ht="20" customHeight="1">
      <c r="B26" s="63">
        <f>IF(ASISTENCIA!$B$70="","",ASISTENCIA!$B$70)</f>
        <v/>
      </c>
      <c r="C26" s="64">
        <f>IF($B26="","",IFERROR(INDEX(ASISTENCIA!$C$59:$C$78,MATCH($B26,ASISTENCIA!$B$59:$B$78,0)),""))</f>
        <v/>
      </c>
      <c r="D26" s="24">
        <f>IF($B26="","",IFERROR(INDEX(ASISTENCIA!$D$59:$D$78,MATCH($B26,ASISTENCIA!$B$59:$B$78,0)),""))</f>
        <v/>
      </c>
      <c r="E26" s="65">
        <f>IF($B26="","",IFERROR(INDEX(NOTAS!$H$5:$H$24,MATCH($B26,NOTAS!$B$5:$B$24,0)),""))</f>
        <v/>
      </c>
      <c r="F26" s="25">
        <f>IF($B26="","",IFERROR(INDEX(ASISTENCIA!$G$59:$G$78,MATCH($B26,ASISTENCIA!$B$59:$B$78,0)),""))</f>
        <v/>
      </c>
      <c r="G26" s="24">
        <f>IF($B26="","",IFERROR(INDEX(ASISTENCIA!$I$59:$I$78,MATCH($B26,ASISTENCIA!$B$59:$B$78,0)),""))</f>
        <v/>
      </c>
    </row>
    <row r="27" ht="20" customHeight="1">
      <c r="B27" s="63">
        <f>IF(ASISTENCIA!$B$71="","",ASISTENCIA!$B$71)</f>
        <v/>
      </c>
      <c r="C27" s="64">
        <f>IF($B27="","",IFERROR(INDEX(ASISTENCIA!$C$59:$C$78,MATCH($B27,ASISTENCIA!$B$59:$B$78,0)),""))</f>
        <v/>
      </c>
      <c r="D27" s="24">
        <f>IF($B27="","",IFERROR(INDEX(ASISTENCIA!$D$59:$D$78,MATCH($B27,ASISTENCIA!$B$59:$B$78,0)),""))</f>
        <v/>
      </c>
      <c r="E27" s="65">
        <f>IF($B27="","",IFERROR(INDEX(NOTAS!$H$5:$H$24,MATCH($B27,NOTAS!$B$5:$B$24,0)),""))</f>
        <v/>
      </c>
      <c r="F27" s="25">
        <f>IF($B27="","",IFERROR(INDEX(ASISTENCIA!$G$59:$G$78,MATCH($B27,ASISTENCIA!$B$59:$B$78,0)),""))</f>
        <v/>
      </c>
      <c r="G27" s="24">
        <f>IF($B27="","",IFERROR(INDEX(ASISTENCIA!$I$59:$I$78,MATCH($B27,ASISTENCIA!$B$59:$B$78,0)),""))</f>
        <v/>
      </c>
    </row>
    <row r="28" ht="20" customHeight="1">
      <c r="B28" s="63">
        <f>IF(ASISTENCIA!$B$72="","",ASISTENCIA!$B$72)</f>
        <v/>
      </c>
      <c r="C28" s="64">
        <f>IF($B28="","",IFERROR(INDEX(ASISTENCIA!$C$59:$C$78,MATCH($B28,ASISTENCIA!$B$59:$B$78,0)),""))</f>
        <v/>
      </c>
      <c r="D28" s="24">
        <f>IF($B28="","",IFERROR(INDEX(ASISTENCIA!$D$59:$D$78,MATCH($B28,ASISTENCIA!$B$59:$B$78,0)),""))</f>
        <v/>
      </c>
      <c r="E28" s="65">
        <f>IF($B28="","",IFERROR(INDEX(NOTAS!$H$5:$H$24,MATCH($B28,NOTAS!$B$5:$B$24,0)),""))</f>
        <v/>
      </c>
      <c r="F28" s="25">
        <f>IF($B28="","",IFERROR(INDEX(ASISTENCIA!$G$59:$G$78,MATCH($B28,ASISTENCIA!$B$59:$B$78,0)),""))</f>
        <v/>
      </c>
      <c r="G28" s="24">
        <f>IF($B28="","",IFERROR(INDEX(ASISTENCIA!$I$59:$I$78,MATCH($B28,ASISTENCIA!$B$59:$B$78,0)),""))</f>
        <v/>
      </c>
    </row>
    <row r="29" ht="20" customHeight="1">
      <c r="B29" s="63">
        <f>IF(ASISTENCIA!$B$73="","",ASISTENCIA!$B$73)</f>
        <v/>
      </c>
      <c r="C29" s="64">
        <f>IF($B29="","",IFERROR(INDEX(ASISTENCIA!$C$59:$C$78,MATCH($B29,ASISTENCIA!$B$59:$B$78,0)),""))</f>
        <v/>
      </c>
      <c r="D29" s="24">
        <f>IF($B29="","",IFERROR(INDEX(ASISTENCIA!$D$59:$D$78,MATCH($B29,ASISTENCIA!$B$59:$B$78,0)),""))</f>
        <v/>
      </c>
      <c r="E29" s="65">
        <f>IF($B29="","",IFERROR(INDEX(NOTAS!$H$5:$H$24,MATCH($B29,NOTAS!$B$5:$B$24,0)),""))</f>
        <v/>
      </c>
      <c r="F29" s="25">
        <f>IF($B29="","",IFERROR(INDEX(ASISTENCIA!$G$59:$G$78,MATCH($B29,ASISTENCIA!$B$59:$B$78,0)),""))</f>
        <v/>
      </c>
      <c r="G29" s="24">
        <f>IF($B29="","",IFERROR(INDEX(ASISTENCIA!$I$59:$I$78,MATCH($B29,ASISTENCIA!$B$59:$B$78,0)),""))</f>
        <v/>
      </c>
    </row>
    <row r="30" ht="20" customHeight="1">
      <c r="B30" s="63">
        <f>IF(ASISTENCIA!$B$74="","",ASISTENCIA!$B$74)</f>
        <v/>
      </c>
      <c r="C30" s="64">
        <f>IF($B30="","",IFERROR(INDEX(ASISTENCIA!$C$59:$C$78,MATCH($B30,ASISTENCIA!$B$59:$B$78,0)),""))</f>
        <v/>
      </c>
      <c r="D30" s="24">
        <f>IF($B30="","",IFERROR(INDEX(ASISTENCIA!$D$59:$D$78,MATCH($B30,ASISTENCIA!$B$59:$B$78,0)),""))</f>
        <v/>
      </c>
      <c r="E30" s="65">
        <f>IF($B30="","",IFERROR(INDEX(NOTAS!$H$5:$H$24,MATCH($B30,NOTAS!$B$5:$B$24,0)),""))</f>
        <v/>
      </c>
      <c r="F30" s="25">
        <f>IF($B30="","",IFERROR(INDEX(ASISTENCIA!$G$59:$G$78,MATCH($B30,ASISTENCIA!$B$59:$B$78,0)),""))</f>
        <v/>
      </c>
      <c r="G30" s="24">
        <f>IF($B30="","",IFERROR(INDEX(ASISTENCIA!$I$59:$I$78,MATCH($B30,ASISTENCIA!$B$59:$B$78,0)),""))</f>
        <v/>
      </c>
    </row>
    <row r="31" ht="20" customHeight="1">
      <c r="B31" s="63">
        <f>IF(ASISTENCIA!$B$75="","",ASISTENCIA!$B$75)</f>
        <v/>
      </c>
      <c r="C31" s="64">
        <f>IF($B31="","",IFERROR(INDEX(ASISTENCIA!$C$59:$C$78,MATCH($B31,ASISTENCIA!$B$59:$B$78,0)),""))</f>
        <v/>
      </c>
      <c r="D31" s="24">
        <f>IF($B31="","",IFERROR(INDEX(ASISTENCIA!$D$59:$D$78,MATCH($B31,ASISTENCIA!$B$59:$B$78,0)),""))</f>
        <v/>
      </c>
      <c r="E31" s="65">
        <f>IF($B31="","",IFERROR(INDEX(NOTAS!$H$5:$H$24,MATCH($B31,NOTAS!$B$5:$B$24,0)),""))</f>
        <v/>
      </c>
      <c r="F31" s="25">
        <f>IF($B31="","",IFERROR(INDEX(ASISTENCIA!$G$59:$G$78,MATCH($B31,ASISTENCIA!$B$59:$B$78,0)),""))</f>
        <v/>
      </c>
      <c r="G31" s="24">
        <f>IF($B31="","",IFERROR(INDEX(ASISTENCIA!$I$59:$I$78,MATCH($B31,ASISTENCIA!$B$59:$B$78,0)),""))</f>
        <v/>
      </c>
    </row>
    <row r="32" ht="20" customHeight="1">
      <c r="B32" s="63">
        <f>IF(ASISTENCIA!$B$76="","",ASISTENCIA!$B$76)</f>
        <v/>
      </c>
      <c r="C32" s="64">
        <f>IF($B32="","",IFERROR(INDEX(ASISTENCIA!$C$59:$C$78,MATCH($B32,ASISTENCIA!$B$59:$B$78,0)),""))</f>
        <v/>
      </c>
      <c r="D32" s="24">
        <f>IF($B32="","",IFERROR(INDEX(ASISTENCIA!$D$59:$D$78,MATCH($B32,ASISTENCIA!$B$59:$B$78,0)),""))</f>
        <v/>
      </c>
      <c r="E32" s="65">
        <f>IF($B32="","",IFERROR(INDEX(NOTAS!$H$5:$H$24,MATCH($B32,NOTAS!$B$5:$B$24,0)),""))</f>
        <v/>
      </c>
      <c r="F32" s="25">
        <f>IF($B32="","",IFERROR(INDEX(ASISTENCIA!$G$59:$G$78,MATCH($B32,ASISTENCIA!$B$59:$B$78,0)),""))</f>
        <v/>
      </c>
      <c r="G32" s="24">
        <f>IF($B32="","",IFERROR(INDEX(ASISTENCIA!$I$59:$I$78,MATCH($B32,ASISTENCIA!$B$59:$B$78,0)),""))</f>
        <v/>
      </c>
    </row>
    <row r="33" ht="20" customHeight="1">
      <c r="B33" s="63">
        <f>IF(ASISTENCIA!$B$77="","",ASISTENCIA!$B$77)</f>
        <v/>
      </c>
      <c r="C33" s="64">
        <f>IF($B33="","",IFERROR(INDEX(ASISTENCIA!$C$59:$C$78,MATCH($B33,ASISTENCIA!$B$59:$B$78,0)),""))</f>
        <v/>
      </c>
      <c r="D33" s="24">
        <f>IF($B33="","",IFERROR(INDEX(ASISTENCIA!$D$59:$D$78,MATCH($B33,ASISTENCIA!$B$59:$B$78,0)),""))</f>
        <v/>
      </c>
      <c r="E33" s="65">
        <f>IF($B33="","",IFERROR(INDEX(NOTAS!$H$5:$H$24,MATCH($B33,NOTAS!$B$5:$B$24,0)),""))</f>
        <v/>
      </c>
      <c r="F33" s="25">
        <f>IF($B33="","",IFERROR(INDEX(ASISTENCIA!$G$59:$G$78,MATCH($B33,ASISTENCIA!$B$59:$B$78,0)),""))</f>
        <v/>
      </c>
      <c r="G33" s="24">
        <f>IF($B33="","",IFERROR(INDEX(ASISTENCIA!$I$59:$I$78,MATCH($B33,ASISTENCIA!$B$59:$B$78,0)),""))</f>
        <v/>
      </c>
    </row>
    <row r="34" ht="20" customHeight="1">
      <c r="B34" s="63">
        <f>IF(ASISTENCIA!$B$78="","",ASISTENCIA!$B$78)</f>
        <v/>
      </c>
      <c r="C34" s="64">
        <f>IF($B34="","",IFERROR(INDEX(ASISTENCIA!$C$59:$C$78,MATCH($B34,ASISTENCIA!$B$59:$B$78,0)),""))</f>
        <v/>
      </c>
      <c r="D34" s="24">
        <f>IF($B34="","",IFERROR(INDEX(ASISTENCIA!$D$59:$D$78,MATCH($B34,ASISTENCIA!$B$59:$B$78,0)),""))</f>
        <v/>
      </c>
      <c r="E34" s="65">
        <f>IF($B34="","",IFERROR(INDEX(NOTAS!$H$5:$H$24,MATCH($B34,NOTAS!$B$5:$B$24,0)),""))</f>
        <v/>
      </c>
      <c r="F34" s="25">
        <f>IF($B34="","",IFERROR(INDEX(ASISTENCIA!$G$59:$G$78,MATCH($B34,ASISTENCIA!$B$59:$B$78,0)),""))</f>
        <v/>
      </c>
      <c r="G34" s="24">
        <f>IF($B34="","",IFERROR(INDEX(ASISTENCIA!$I$59:$I$78,MATCH($B34,ASISTENCIA!$B$59:$B$78,0)),""))</f>
        <v/>
      </c>
    </row>
    <row r="35" ht="14" customHeight="1"/>
    <row r="36" ht="80" customHeight="1">
      <c r="B36" s="34" t="inlineStr">
        <is>
          <t>Las asignaturas de esta tabla salen SOLAS de tu lista de ASISTENCIA (no se escribe nada aquí; para quitar una, bórrala de la lista). CLASES, FALTAS, % ASIST. y ESTADO se leen de ASISTENCIA; la MEDIA se lee de NOTAS. El MÍNIMO DE ASISTENCIA PERMITIDO se cambia en ASISTENCIA (CONFIGURACIÓN GLOBAL) y cada retraso equivale a lo que tú configures (por defecto 0,5). La barra de FALTAS es SOLO ORIENTATIVA: el ESTADO se calcula según tus clases previstas y el mínimo configurado. Tu objetivo de nota se cambia en la casilla ámbar (D8).</t>
        </is>
      </c>
    </row>
    <row r="37" ht="14" customHeight="1"/>
    <row r="38" ht="22" customHeight="1">
      <c r="B38" s="35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mergeCells count="23">
    <mergeCell ref="F4:G4"/>
    <mergeCell ref="F11:G11"/>
    <mergeCell ref="B7:I7"/>
    <mergeCell ref="H4:I4"/>
    <mergeCell ref="B12:I12"/>
    <mergeCell ref="B11:C11"/>
    <mergeCell ref="D11:E11"/>
    <mergeCell ref="B2:I2"/>
    <mergeCell ref="F5:G5"/>
    <mergeCell ref="B8:C8"/>
    <mergeCell ref="B1:I1"/>
    <mergeCell ref="H11:I11"/>
    <mergeCell ref="B10:I10"/>
    <mergeCell ref="D4:E4"/>
    <mergeCell ref="D8:E8"/>
    <mergeCell ref="B9:I9"/>
    <mergeCell ref="F8:I8"/>
    <mergeCell ref="B5:C5"/>
    <mergeCell ref="D5:E5"/>
    <mergeCell ref="B38:H38"/>
    <mergeCell ref="H5:I5"/>
    <mergeCell ref="B36:I36"/>
    <mergeCell ref="B4:C4"/>
  </mergeCells>
  <conditionalFormatting sqref="B5:C5">
    <cfRule type="expression" priority="1" dxfId="8">
      <formula>AND($B5&lt;&gt;"",$B5&gt;=5)</formula>
    </cfRule>
    <cfRule type="expression" priority="2" dxfId="9">
      <formula>AND($B5&lt;&gt;"",$B5&lt;5)</formula>
    </cfRule>
  </conditionalFormatting>
  <conditionalFormatting sqref="D5:E5">
    <cfRule type="expression" priority="3" dxfId="8">
      <formula>AND($D5&lt;&gt;"",$D5&gt;=ASISTENCIA!$C$82+1)</formula>
    </cfRule>
    <cfRule type="expression" priority="4" dxfId="10">
      <formula>AND($D5&lt;&gt;"",$D5=ASISTENCIA!$C$82)</formula>
    </cfRule>
    <cfRule type="expression" priority="5" dxfId="9">
      <formula>AND($D5&lt;&gt;"",$D5&lt;ASISTENCIA!$C$82)</formula>
    </cfRule>
  </conditionalFormatting>
  <conditionalFormatting sqref="B12">
    <cfRule type="expression" priority="6" dxfId="11">
      <formula>$D$11&gt;=$H$11+1</formula>
    </cfRule>
    <cfRule type="expression" priority="7" dxfId="12">
      <formula>$D$11=$H$11</formula>
    </cfRule>
    <cfRule type="expression" priority="8" dxfId="13">
      <formula>$D$11&lt;$H$11</formula>
    </cfRule>
  </conditionalFormatting>
  <conditionalFormatting sqref="D15:D34">
    <cfRule type="dataBar" priority="9">
      <dataBar showValue="1">
        <cfvo type="num" val="0"/>
        <cfvo type="num" val="10"/>
        <color rgb="00C00000"/>
      </dataBar>
    </cfRule>
  </conditionalFormatting>
  <conditionalFormatting sqref="E15:E34">
    <cfRule type="expression" priority="10" dxfId="0">
      <formula>AND($E15&lt;&gt;"",$E15&gt;=5)</formula>
    </cfRule>
    <cfRule type="expression" priority="11" dxfId="2">
      <formula>AND($E15&lt;&gt;"",$E15&lt;5)</formula>
    </cfRule>
  </conditionalFormatting>
  <conditionalFormatting sqref="F15:F34">
    <cfRule type="colorScale" priority="12">
      <colorScale>
        <cfvo type="num" val="0"/>
        <cfvo type="num" val="50"/>
        <cfvo type="num" val="100"/>
        <color rgb="00FFC7CE"/>
        <color rgb="00FFEB9C"/>
        <color rgb="00C6EFCE"/>
      </colorScale>
    </cfRule>
  </conditionalFormatting>
  <conditionalFormatting sqref="G15:G34">
    <cfRule type="expression" priority="13" dxfId="0">
      <formula>$G15="A SALVO"</formula>
    </cfRule>
    <cfRule type="expression" priority="14" dxfId="1">
      <formula>$G15="ATENCIÓN"</formula>
    </cfRule>
    <cfRule type="expression" priority="15" dxfId="2">
      <formula>$G15="PELIGRO"</formula>
    </cfRule>
  </conditionalFormatting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CalculaFácil</dc:creator>
  <dc:title>Control de Asistencia y Notas 2026/2027</dc:title>
  <dcterms:created xsi:type="dcterms:W3CDTF">2026-09-14T16:45:56Z</dcterms:created>
  <dcterms:modified xsi:type="dcterms:W3CDTF">2026-09-14T16:45:56Z</dcterms:modified>
</cp:coreProperties>
</file>